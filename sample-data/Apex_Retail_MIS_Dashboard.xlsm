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hidePivotFieldList="1" defaultThemeVersion="166925"/>
  <mc:AlternateContent xmlns:mc="http://schemas.openxmlformats.org/markup-compatibility/2006">
    <mc:Choice Requires="x15">
      <x15ac:absPath xmlns:x15ac="http://schemas.microsoft.com/office/spreadsheetml/2010/11/ac" url="E:\DATA_ANALYST_2026\PROJECTS\"/>
    </mc:Choice>
  </mc:AlternateContent>
  <xr:revisionPtr revIDLastSave="0" documentId="13_ncr:1_{FCF36F2D-8F63-4977-869F-9D3A48599CFA}" xr6:coauthVersionLast="47" xr6:coauthVersionMax="47" xr10:uidLastSave="{00000000-0000-0000-0000-000000000000}"/>
  <bookViews>
    <workbookView xWindow="-108" yWindow="-108" windowWidth="23256" windowHeight="12456" firstSheet="1" activeTab="1" xr2:uid="{E8F196D9-4D9F-4EB5-9DB6-F4C03C29CFF3}"/>
  </bookViews>
  <sheets>
    <sheet name="Documentation" sheetId="5" r:id="rId1"/>
    <sheet name="Dashboard" sheetId="4" r:id="rId2"/>
    <sheet name="Pivot_Data" sheetId="11" r:id="rId3"/>
    <sheet name="Macro_control" sheetId="9" r:id="rId4"/>
    <sheet name="Calendar" sheetId="15" r:id="rId5"/>
    <sheet name="Analysis" sheetId="6" r:id="rId6"/>
    <sheet name="Clean_Data" sheetId="3" r:id="rId7"/>
    <sheet name="Targets" sheetId="2" r:id="rId8"/>
    <sheet name="PivotTables" sheetId="16" r:id="rId9"/>
    <sheet name="PQ_Clean_Sales" sheetId="7" r:id="rId10"/>
    <sheet name="Raw_Data" sheetId="1" r:id="rId11"/>
  </sheets>
  <definedNames>
    <definedName name="ExternalData_1" localSheetId="9" hidden="1">PQ_Clean_Sales!$A$3:$P$33</definedName>
    <definedName name="NativeTimeline_Order_Date">#N/A</definedName>
    <definedName name="Slicer_Category">#N/A</definedName>
    <definedName name="Slicer_Order_Status">#N/A</definedName>
    <definedName name="Slicer_Product">#N/A</definedName>
    <definedName name="Slicer_Region">#N/A</definedName>
    <definedName name="Slicer_Salesperson">#N/A</definedName>
  </definedNames>
  <calcPr calcId="191029"/>
  <pivotCaches>
    <pivotCache cacheId="441" r:id="rId12"/>
  </pivotCaches>
  <extLst>
    <ext xmlns:x14="http://schemas.microsoft.com/office/spreadsheetml/2009/9/main" uri="{BBE1A952-AA13-448e-AADC-164F8A28A991}">
      <x14:slicerCaches>
        <x14:slicerCache r:id="rId13"/>
        <x14:slicerCache r:id="rId14"/>
        <x14:slicerCache r:id="rId15"/>
        <x14:slicerCache r:id="rId16"/>
        <x14:slicerCache r:id="rId17"/>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8"/>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34" i="7" l="1"/>
  <c r="B5" i="4"/>
  <c r="L34" i="7"/>
  <c r="T14" i="6" a="1"/>
  <c r="T14" i="6" s="1"/>
  <c r="W14" i="6" s="1"/>
  <c r="O14" i="6" a="1"/>
  <c r="O14" i="6" s="1"/>
  <c r="P14" i="6" s="1"/>
  <c r="G14" i="6" a="1"/>
  <c r="G14" i="6" s="1"/>
  <c r="J14" i="6" s="1"/>
  <c r="F2" i="6" a="1"/>
  <c r="F2" i="6" s="1"/>
  <c r="E2" i="6" a="1"/>
  <c r="E2" i="6" s="1"/>
  <c r="D2" i="6" a="1"/>
  <c r="D2" i="6" s="1"/>
  <c r="F20" i="6" s="1"/>
  <c r="B16" i="6"/>
  <c r="B15" i="6"/>
  <c r="B14" i="6"/>
  <c r="B13" i="6"/>
  <c r="B12" i="6"/>
  <c r="B3" i="6"/>
  <c r="B10" i="6"/>
  <c r="B9" i="6"/>
  <c r="B8" i="6"/>
  <c r="B7" i="6"/>
  <c r="B6" i="6"/>
  <c r="B5" i="6"/>
  <c r="B4" i="6"/>
  <c r="E3" i="15"/>
  <c r="E4" i="15"/>
  <c r="E5" i="15"/>
  <c r="E6" i="15"/>
  <c r="E7" i="15"/>
  <c r="E8" i="15"/>
  <c r="E9" i="15"/>
  <c r="E10" i="15"/>
  <c r="E11" i="15"/>
  <c r="E12" i="15"/>
  <c r="E13" i="15"/>
  <c r="E14" i="15"/>
  <c r="E15" i="15"/>
  <c r="E16" i="15"/>
  <c r="E17" i="15"/>
  <c r="E18" i="15"/>
  <c r="E19" i="15"/>
  <c r="E20" i="15"/>
  <c r="E21" i="15"/>
  <c r="E22" i="15"/>
  <c r="E23" i="15"/>
  <c r="E24" i="15"/>
  <c r="E25" i="15"/>
  <c r="E26" i="15"/>
  <c r="E27" i="15"/>
  <c r="E28" i="15"/>
  <c r="E29" i="15"/>
  <c r="E30" i="15"/>
  <c r="E31" i="15"/>
  <c r="E32" i="15"/>
  <c r="E2" i="15"/>
  <c r="D3" i="15"/>
  <c r="D4" i="15"/>
  <c r="D5" i="15"/>
  <c r="D6" i="15"/>
  <c r="D7" i="15"/>
  <c r="D8" i="15"/>
  <c r="D9" i="15"/>
  <c r="D10" i="15"/>
  <c r="D11" i="15"/>
  <c r="D12" i="15"/>
  <c r="D13" i="15"/>
  <c r="D14" i="15"/>
  <c r="D15" i="15"/>
  <c r="D16" i="15"/>
  <c r="D17" i="15"/>
  <c r="D18" i="15"/>
  <c r="D19" i="15"/>
  <c r="D20" i="15"/>
  <c r="D21" i="15"/>
  <c r="D22" i="15"/>
  <c r="D23" i="15"/>
  <c r="D24" i="15"/>
  <c r="D25" i="15"/>
  <c r="D26" i="15"/>
  <c r="D27" i="15"/>
  <c r="D28" i="15"/>
  <c r="D29" i="15"/>
  <c r="D30" i="15"/>
  <c r="D31" i="15"/>
  <c r="D32" i="15"/>
  <c r="D2" i="15"/>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2" i="15"/>
  <c r="B3" i="15"/>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2" i="15"/>
  <c r="H34" i="7"/>
  <c r="M34" i="7"/>
  <c r="I34" i="7"/>
  <c r="J34" i="7"/>
  <c r="L9" i="4"/>
  <c r="O9" i="4"/>
  <c r="B9" i="4"/>
  <c r="G9" i="4"/>
  <c r="Q18" i="6" l="1"/>
  <c r="Q19" i="6"/>
  <c r="U14" i="6"/>
  <c r="D20" i="6"/>
  <c r="Q17" i="6"/>
  <c r="U17" i="6"/>
  <c r="D23" i="6"/>
  <c r="P20" i="6"/>
  <c r="Q15" i="6"/>
  <c r="U15" i="6"/>
  <c r="D21" i="6"/>
  <c r="P19" i="6"/>
  <c r="R14" i="6"/>
  <c r="V14" i="6"/>
  <c r="K14" i="6"/>
  <c r="P18" i="6"/>
  <c r="R20" i="6"/>
  <c r="V17" i="6"/>
  <c r="F21" i="6"/>
  <c r="K17" i="6"/>
  <c r="P17" i="6"/>
  <c r="R19" i="6"/>
  <c r="V16" i="6"/>
  <c r="F23" i="6"/>
  <c r="K16" i="6"/>
  <c r="P16" i="6"/>
  <c r="R18" i="6"/>
  <c r="V15" i="6"/>
  <c r="F22" i="6"/>
  <c r="K15" i="6"/>
  <c r="P15" i="6"/>
  <c r="R17" i="6"/>
  <c r="Q14" i="6"/>
  <c r="R16" i="6"/>
  <c r="W17" i="6"/>
  <c r="Q16" i="6"/>
  <c r="U16" i="6"/>
  <c r="D22" i="6"/>
  <c r="Q20" i="6"/>
  <c r="R15" i="6"/>
  <c r="W16" i="6"/>
  <c r="W15" i="6"/>
  <c r="H14" i="6"/>
  <c r="H17" i="6"/>
  <c r="H16" i="6"/>
  <c r="H15" i="6"/>
  <c r="I14" i="6"/>
  <c r="I17" i="6"/>
  <c r="I16" i="6"/>
  <c r="I15" i="6"/>
  <c r="J17" i="6"/>
  <c r="A20" i="6"/>
  <c r="J16" i="6"/>
  <c r="J15" i="6"/>
  <c r="B11" i="6"/>
  <c r="Q34" i="7"/>
  <c r="L14" i="6" l="1"/>
  <c r="M14" i="6" s="1" a="1"/>
  <c r="M14" i="6" s="1"/>
  <c r="L15" i="6"/>
  <c r="M15" i="6" s="1" a="1"/>
  <c r="M15" i="6" s="1"/>
  <c r="L17" i="6"/>
  <c r="M17" i="6" s="1" a="1"/>
  <c r="M17" i="6" s="1"/>
  <c r="L16" i="6"/>
  <c r="M16" i="6" s="1" a="1"/>
  <c r="M16" i="6"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35DBC31-AD90-40E4-99FE-8120C128D074}" keepAlive="1" name="Query - tblCleanSales" description="Connection to the 'tblCleanSales' query in the workbook." type="5" refreshedVersion="8" background="1" saveData="1">
    <dbPr connection="Provider=Microsoft.Mashup.OleDb.1;Data Source=$Workbook$;Location=tblCleanSales;Extended Properties=&quot;&quot;" command="SELECT * FROM [tblCleanSale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<sst xmlns="http://schemas.openxmlformats.org/spreadsheetml/2006/main" count="569" uniqueCount="164">
  <si>
    <t>Order_Date</t>
  </si>
  <si>
    <t>Region</t>
  </si>
  <si>
    <t>Salesperson</t>
  </si>
  <si>
    <t>Product</t>
  </si>
  <si>
    <t>Category</t>
  </si>
  <si>
    <t>Quantity</t>
  </si>
  <si>
    <t>Sales_Amount</t>
  </si>
  <si>
    <t>Cost_Amount</t>
  </si>
  <si>
    <t>Order_Status</t>
  </si>
  <si>
    <t>ORD1001</t>
  </si>
  <si>
    <t>01/01/2026</t>
  </si>
  <si>
    <t>North</t>
  </si>
  <si>
    <t>Laptop</t>
  </si>
  <si>
    <t>Electronics</t>
  </si>
  <si>
    <t>Completed</t>
  </si>
  <si>
    <t>ORD1002</t>
  </si>
  <si>
    <t>02/01/2026</t>
  </si>
  <si>
    <t>South</t>
  </si>
  <si>
    <t>Priya</t>
  </si>
  <si>
    <t>Monitor</t>
  </si>
  <si>
    <t>ORD1003</t>
  </si>
  <si>
    <t>03/01/2026</t>
  </si>
  <si>
    <t>East</t>
  </si>
  <si>
    <t>Rahul</t>
  </si>
  <si>
    <t>Keyboard</t>
  </si>
  <si>
    <t>Accessories</t>
  </si>
  <si>
    <t>ORD1004</t>
  </si>
  <si>
    <t>04/01/2026</t>
  </si>
  <si>
    <t>West</t>
  </si>
  <si>
    <t>Neha</t>
  </si>
  <si>
    <t>Mouse</t>
  </si>
  <si>
    <t>ORD1005</t>
  </si>
  <si>
    <t>05/01/2026</t>
  </si>
  <si>
    <t>ORD1006</t>
  </si>
  <si>
    <t>06/01/2026</t>
  </si>
  <si>
    <t>ORD1007</t>
  </si>
  <si>
    <t>07/01/2026</t>
  </si>
  <si>
    <t>ORD1008</t>
  </si>
  <si>
    <t>08/01/2026</t>
  </si>
  <si>
    <t>ORD1009</t>
  </si>
  <si>
    <t>09/01/2026</t>
  </si>
  <si>
    <t>ORD1010</t>
  </si>
  <si>
    <t>10/01/2026</t>
  </si>
  <si>
    <t>ORD1011</t>
  </si>
  <si>
    <t>11/01/2026</t>
  </si>
  <si>
    <t>ORD1012</t>
  </si>
  <si>
    <t>12/01/2026</t>
  </si>
  <si>
    <t>ORD1013</t>
  </si>
  <si>
    <t>13/01/2026</t>
  </si>
  <si>
    <t>ORD1014</t>
  </si>
  <si>
    <t>14/01/2026</t>
  </si>
  <si>
    <t>ORD1015</t>
  </si>
  <si>
    <t>15/01/2026</t>
  </si>
  <si>
    <t>ORD1016</t>
  </si>
  <si>
    <t>16/01/2026</t>
  </si>
  <si>
    <t>ORD1017</t>
  </si>
  <si>
    <t>17/01/2026</t>
  </si>
  <si>
    <t>ORD1018</t>
  </si>
  <si>
    <t>18/01/2026</t>
  </si>
  <si>
    <t>ORD1019</t>
  </si>
  <si>
    <t>19/01/2026</t>
  </si>
  <si>
    <t>ORD1020</t>
  </si>
  <si>
    <t>20/01/2026</t>
  </si>
  <si>
    <t>Cancelled</t>
  </si>
  <si>
    <t>ORD1021</t>
  </si>
  <si>
    <t>21/01/2026</t>
  </si>
  <si>
    <t>ORD1022</t>
  </si>
  <si>
    <t>22/01/2026</t>
  </si>
  <si>
    <t>ORD1023</t>
  </si>
  <si>
    <t>23/01/2026</t>
  </si>
  <si>
    <t>ORD1024</t>
  </si>
  <si>
    <t>24/01/2026</t>
  </si>
  <si>
    <t>ORD1025</t>
  </si>
  <si>
    <t>25/01/2026</t>
  </si>
  <si>
    <t>ORD1026</t>
  </si>
  <si>
    <t>26/01/2026</t>
  </si>
  <si>
    <t>ORD1027</t>
  </si>
  <si>
    <t>27/01/2026</t>
  </si>
  <si>
    <t>ORD1028</t>
  </si>
  <si>
    <t>28/01/2026</t>
  </si>
  <si>
    <t>ORD1029</t>
  </si>
  <si>
    <t>29/01/2026</t>
  </si>
  <si>
    <t>ORD1030</t>
  </si>
  <si>
    <t>30/01/2026</t>
  </si>
  <si>
    <t>S</t>
  </si>
  <si>
    <t>Monthly_Sales_Target</t>
  </si>
  <si>
    <t>Monthly_Profit_Target</t>
  </si>
  <si>
    <t>Profit</t>
  </si>
  <si>
    <t>Completed_Sales</t>
  </si>
  <si>
    <t>Completed_Profit</t>
  </si>
  <si>
    <t>A</t>
  </si>
  <si>
    <t>B</t>
  </si>
  <si>
    <t>KPI</t>
  </si>
  <si>
    <t>Value</t>
  </si>
  <si>
    <t>Total Completed Sales</t>
  </si>
  <si>
    <t>Total Completed Profit</t>
  </si>
  <si>
    <t>Total Orders</t>
  </si>
  <si>
    <t>Completed Orders</t>
  </si>
  <si>
    <t>Cancelled Orders</t>
  </si>
  <si>
    <t>Average Order Value</t>
  </si>
  <si>
    <t>Profit Margin</t>
  </si>
  <si>
    <t>Sales</t>
  </si>
  <si>
    <t>Target</t>
  </si>
  <si>
    <t>Amit</t>
  </si>
  <si>
    <t>Mobile</t>
  </si>
  <si>
    <t>Office Chair</t>
  </si>
  <si>
    <t>Furniture</t>
  </si>
  <si>
    <t>Desk</t>
  </si>
  <si>
    <t>Macro</t>
  </si>
  <si>
    <t>DATE</t>
  </si>
  <si>
    <t>Year</t>
  </si>
  <si>
    <t>Month Number</t>
  </si>
  <si>
    <t>Month Name</t>
  </si>
  <si>
    <t>Quarter</t>
  </si>
  <si>
    <t>Day Name</t>
  </si>
  <si>
    <t>Month- Year</t>
  </si>
  <si>
    <t>Total Sales</t>
  </si>
  <si>
    <t>Total Profit</t>
  </si>
  <si>
    <t>Source_Row_Order</t>
  </si>
  <si>
    <t>Order_Id</t>
  </si>
  <si>
    <t>Data_Quality_Status</t>
  </si>
  <si>
    <t>Valid</t>
  </si>
  <si>
    <t xml:space="preserve">Cancellation Rate </t>
  </si>
  <si>
    <t>Data Quality KPI</t>
  </si>
  <si>
    <t>Minimum Date</t>
  </si>
  <si>
    <t>Maximum Date</t>
  </si>
  <si>
    <t>Record  Count</t>
  </si>
  <si>
    <t>Dynamic Region List</t>
  </si>
  <si>
    <t>Dynamic Product List</t>
  </si>
  <si>
    <t>Dynamic Category List</t>
  </si>
  <si>
    <t xml:space="preserve">Profit </t>
  </si>
  <si>
    <t>Order</t>
  </si>
  <si>
    <t xml:space="preserve">Product </t>
  </si>
  <si>
    <t>Orders</t>
  </si>
  <si>
    <t>X-LOOKUP</t>
  </si>
  <si>
    <t>INDEX/MATCH</t>
  </si>
  <si>
    <t>VLOOKUP</t>
  </si>
  <si>
    <t xml:space="preserve"> </t>
  </si>
  <si>
    <t>Status</t>
  </si>
  <si>
    <t>Row Labels</t>
  </si>
  <si>
    <t>Grand Total</t>
  </si>
  <si>
    <t>Sum of Completed_Sales</t>
  </si>
  <si>
    <t>Sum of Completed_Profit</t>
  </si>
  <si>
    <t>Completed Sales</t>
  </si>
  <si>
    <t>Completed_Quantity</t>
  </si>
  <si>
    <t>Sum of Completed_Quantity</t>
  </si>
  <si>
    <t>Count of Order_Id</t>
  </si>
  <si>
    <t>Count</t>
  </si>
  <si>
    <t>APEX RETAIL SOLUTIONS</t>
  </si>
  <si>
    <t>COMPLETED SALES</t>
  </si>
  <si>
    <t>COMPLETED PROFIT</t>
  </si>
  <si>
    <t>PROFIT MARGIN</t>
  </si>
  <si>
    <t>DYNAMIC REPORTING DASHBOARD</t>
  </si>
  <si>
    <t>ORDERS</t>
  </si>
  <si>
    <t>REGION</t>
  </si>
  <si>
    <t>SALESPERSON</t>
  </si>
  <si>
    <t>PRODUCT</t>
  </si>
  <si>
    <t>ORDER STATUS</t>
  </si>
  <si>
    <t>Achievement %</t>
  </si>
  <si>
    <t>Last Refreshed</t>
  </si>
  <si>
    <t>FILTERS</t>
  </si>
  <si>
    <t>(All)</t>
  </si>
  <si>
    <t>Last Refreshed: 02-Oct-2026 15:57:25</t>
  </si>
  <si>
    <t xml:space="preserve">                          BUSINESS PERFORMANCE MIS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</si>
</sst>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yyyy"/>
    <numFmt numFmtId="165" formatCode="[$₹-4009]\ #,##0.00"/>
    <numFmt numFmtId="166" formatCode="[$-409]d/mmm;@"/>
    <numFmt numFmtId="167" formatCode="\₹#,##0"/>
  </numFmts>
  <fonts count="18">
    <font>
      <sz val="11"/>
      <color theme="1"/>
      <name val="Calibri"/>
      <family val="2"/>
      <scheme val="minor"/>
    </font>
    <font>
      <sz val="11"/>
      <color theme="1"/>
      <name val="Calibri"/>
      <family val="2"/>
      <scheme val="minor"/>
    </font>
    <font>
      <b/>
      <sz val="11"/>
      <color theme="1"/>
      <name val="Calibri"/>
      <family val="2"/>
      <scheme val="minor"/>
    </font>
    <font>
      <sz val="8"/>
      <name val="Calibri"/>
      <family val="2"/>
      <scheme val="minor"/>
    </font>
    <font>
      <b/>
      <sz val="12"/>
      <color theme="1"/>
      <name val="Calibri"/>
      <family val="2"/>
      <scheme val="minor"/>
    </font>
    <font>
      <sz val="10"/>
      <color theme="1"/>
      <name val="Arial Unicode MS"/>
    </font>
    <font>
      <sz val="11"/>
      <color rgb="FF000000"/>
      <name val="Calibri"/>
      <family val="2"/>
    </font>
    <font>
      <sz val="10"/>
      <color theme="1"/>
      <name val="Calibri"/>
      <family val="2"/>
      <scheme val="minor"/>
    </font>
    <font>
      <b/>
      <sz val="36"/>
      <color theme="0"/>
      <name val="Aptos"/>
      <family val="2"/>
    </font>
    <font>
      <b/>
      <sz val="20"/>
      <color theme="0"/>
      <name val="Aptos"/>
      <family val="2"/>
    </font>
    <font>
      <b/>
      <sz val="16"/>
      <color theme="0"/>
      <name val="Aptos"/>
      <family val="2"/>
    </font>
    <font>
      <i/>
      <sz val="14"/>
      <color theme="0"/>
      <name val="Aptos"/>
      <family val="2"/>
    </font>
    <font>
      <b/>
      <sz val="20"/>
      <color theme="6" tint="-0.249977111117893"/>
      <name val="Aptos"/>
      <family val="2"/>
    </font>
    <font>
      <b/>
      <sz val="20"/>
      <color rgb="FF002060"/>
      <name val="Aptos"/>
      <family val="2"/>
    </font>
    <font>
      <b/>
      <sz val="22"/>
      <color rgb="FF002060"/>
      <name val="Aptos"/>
      <family val="2"/>
    </font>
    <font>
      <b/>
      <sz val="14"/>
      <color rgb="FF002060"/>
      <name val="Aptos"/>
      <family val="2"/>
    </font>
    <font>
      <b/>
      <sz val="16"/>
      <color theme="6" tint="-0.249977111117893"/>
      <name val="Aptos"/>
      <family val="2"/>
    </font>
    <font>
      <sz val="16"/>
      <color theme="6" tint="-0.249977111117893"/>
      <name val="Aptos"/>
      <family val="2"/>
    </font>
  </fonts>
  <fills count="4">
    <fill>
      <patternFill patternType="none"/>
    </fill>
    <fill>
      <patternFill patternType="gray125"/>
    </fill>
    <fill>
      <patternFill patternType="solid">
        <fgColor theme="0"/>
        <bgColor indexed="64"/>
      </patternFill>
    </fill>
    <fill>
      <patternFill patternType="solid">
        <fgColor rgb="FF0F2A4B"/>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75">
    <xf numFmtId="0" fontId="0" fillId="0" borderId="0" xfId="0"/>
    <xf numFmtId="14" fontId="0" fillId="0" borderId="0" xfId="0" applyNumberFormat="1"/>
    <xf numFmtId="0" fontId="2" fillId="0" borderId="0" xfId="0" applyFont="1" applyAlignment="1">
      <alignment horizontal="center" vertical="center" wrapText="1"/>
    </xf>
    <xf numFmtId="0" fontId="0" fillId="0" borderId="0" xfId="0" applyAlignment="1">
      <alignment vertical="center" wrapText="1"/>
    </xf>
    <xf numFmtId="10" fontId="0" fillId="0" borderId="0" xfId="0" applyNumberFormat="1"/>
    <xf numFmtId="0" fontId="2" fillId="0" borderId="0" xfId="0" applyFont="1"/>
    <xf numFmtId="164" fontId="0" fillId="0" borderId="0" xfId="0" applyNumberFormat="1"/>
    <xf numFmtId="0" fontId="4" fillId="0" borderId="0" xfId="0" applyFont="1" applyAlignment="1">
      <alignment vertical="center" wrapText="1"/>
    </xf>
    <xf numFmtId="10" fontId="0" fillId="0" borderId="0" xfId="1" applyNumberFormat="1" applyFont="1" applyBorder="1"/>
    <xf numFmtId="0" fontId="4" fillId="0" borderId="0" xfId="0" applyFont="1"/>
    <xf numFmtId="0" fontId="4" fillId="0" borderId="1" xfId="0" applyFont="1" applyBorder="1" applyAlignment="1">
      <alignment vertical="center" wrapText="1"/>
    </xf>
    <xf numFmtId="0" fontId="2" fillId="0" borderId="1" xfId="0" applyFont="1" applyBorder="1" applyAlignment="1">
      <alignment vertical="center" wrapText="1"/>
    </xf>
    <xf numFmtId="10" fontId="2" fillId="0" borderId="1" xfId="1" applyNumberFormat="1" applyFont="1" applyBorder="1" applyAlignment="1">
      <alignment vertical="center" wrapText="1"/>
    </xf>
    <xf numFmtId="0" fontId="0" fillId="0" borderId="1" xfId="0" applyBorder="1" applyAlignment="1">
      <alignment vertical="center" wrapText="1"/>
    </xf>
    <xf numFmtId="0" fontId="0" fillId="0" borderId="1" xfId="1" applyNumberFormat="1" applyFont="1" applyBorder="1" applyAlignment="1">
      <alignment vertical="center" wrapText="1"/>
    </xf>
    <xf numFmtId="0" fontId="0" fillId="0" borderId="1" xfId="0" applyBorder="1"/>
    <xf numFmtId="0" fontId="2" fillId="0" borderId="0" xfId="0" applyFont="1" applyAlignment="1">
      <alignment vertical="center" wrapText="1"/>
    </xf>
    <xf numFmtId="0" fontId="0" fillId="0" borderId="0" xfId="0" pivotButton="1"/>
    <xf numFmtId="0" fontId="0" fillId="0" borderId="0" xfId="0" applyAlignment="1">
      <alignment horizontal="left"/>
    </xf>
    <xf numFmtId="165" fontId="0" fillId="0" borderId="0" xfId="0" applyNumberFormat="1"/>
    <xf numFmtId="166" fontId="0" fillId="0" borderId="0" xfId="0" applyNumberFormat="1" applyAlignment="1">
      <alignment horizontal="left"/>
    </xf>
    <xf numFmtId="0" fontId="0" fillId="0" borderId="0" xfId="0" applyAlignment="1">
      <alignment horizontal="center" vertical="center"/>
    </xf>
    <xf numFmtId="0" fontId="2" fillId="0" borderId="0" xfId="0" applyFont="1" applyAlignment="1">
      <alignment horizontal="center" vertical="center"/>
    </xf>
    <xf numFmtId="0" fontId="5" fillId="0" borderId="0" xfId="0" applyFont="1" applyAlignment="1">
      <alignment vertical="center"/>
    </xf>
    <xf numFmtId="10" fontId="0" fillId="0" borderId="1" xfId="1" applyNumberFormat="1" applyFont="1" applyBorder="1"/>
    <xf numFmtId="0" fontId="7" fillId="0" borderId="0" xfId="0" applyFont="1"/>
    <xf numFmtId="0" fontId="0" fillId="0" borderId="0" xfId="0" applyNumberFormat="1"/>
    <xf numFmtId="0" fontId="0" fillId="2" borderId="3" xfId="0" applyFill="1" applyBorder="1"/>
    <xf numFmtId="0" fontId="0" fillId="2" borderId="4" xfId="0" applyFill="1" applyBorder="1"/>
    <xf numFmtId="0" fontId="0" fillId="2" borderId="5" xfId="0" applyFill="1" applyBorder="1"/>
    <xf numFmtId="0" fontId="0" fillId="2" borderId="2" xfId="0" applyFill="1" applyBorder="1"/>
    <xf numFmtId="0" fontId="0" fillId="2" borderId="0" xfId="0" applyFill="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8" fillId="3" borderId="3" xfId="0" applyFont="1" applyFill="1" applyBorder="1" applyAlignment="1">
      <alignment horizontal="center" vertical="center" wrapText="1"/>
    </xf>
    <xf numFmtId="0" fontId="8" fillId="3" borderId="4" xfId="0" applyFont="1" applyFill="1" applyBorder="1" applyAlignment="1">
      <alignment horizontal="center" vertical="center" wrapText="1"/>
    </xf>
    <xf numFmtId="0" fontId="8" fillId="3" borderId="5" xfId="0" applyFont="1" applyFill="1" applyBorder="1" applyAlignment="1">
      <alignment horizontal="center" vertical="center" wrapText="1"/>
    </xf>
    <xf numFmtId="0" fontId="9" fillId="3" borderId="2" xfId="0" applyFont="1" applyFill="1" applyBorder="1" applyAlignment="1">
      <alignment horizontal="center" vertical="center" wrapText="1"/>
    </xf>
    <xf numFmtId="0" fontId="10" fillId="3" borderId="2" xfId="0" applyFont="1" applyFill="1" applyBorder="1" applyAlignment="1">
      <alignment horizontal="center" vertical="center" wrapText="1"/>
    </xf>
    <xf numFmtId="0" fontId="10" fillId="3" borderId="0" xfId="0" applyFont="1" applyFill="1" applyAlignment="1">
      <alignment horizontal="center" vertical="center" wrapText="1"/>
    </xf>
    <xf numFmtId="0" fontId="10" fillId="3" borderId="6" xfId="0" applyFont="1" applyFill="1" applyBorder="1" applyAlignment="1">
      <alignment horizontal="center" vertical="center" wrapText="1"/>
    </xf>
    <xf numFmtId="0" fontId="11" fillId="3" borderId="7" xfId="0" applyFont="1" applyFill="1" applyBorder="1" applyAlignment="1">
      <alignment horizontal="left"/>
    </xf>
    <xf numFmtId="0" fontId="11" fillId="3" borderId="8" xfId="0" applyFont="1" applyFill="1" applyBorder="1" applyAlignment="1">
      <alignment horizontal="left"/>
    </xf>
    <xf numFmtId="0" fontId="11" fillId="3" borderId="9" xfId="0" applyFont="1" applyFill="1" applyBorder="1" applyAlignment="1">
      <alignment horizontal="left"/>
    </xf>
    <xf numFmtId="0" fontId="12" fillId="2" borderId="2" xfId="0" applyFont="1" applyFill="1" applyBorder="1" applyAlignment="1">
      <alignment horizontal="center"/>
    </xf>
    <xf numFmtId="0" fontId="12" fillId="2" borderId="0" xfId="0" applyFont="1" applyFill="1" applyAlignment="1">
      <alignment horizontal="center"/>
    </xf>
    <xf numFmtId="0" fontId="12" fillId="2" borderId="6" xfId="0" applyFont="1" applyFill="1" applyBorder="1" applyAlignment="1">
      <alignment horizontal="center"/>
    </xf>
    <xf numFmtId="167" fontId="13" fillId="2" borderId="2" xfId="0" applyNumberFormat="1" applyFont="1" applyFill="1" applyBorder="1" applyAlignment="1">
      <alignment horizontal="center" vertical="center"/>
    </xf>
    <xf numFmtId="167" fontId="13" fillId="2" borderId="0" xfId="0" applyNumberFormat="1" applyFont="1" applyFill="1" applyAlignment="1">
      <alignment horizontal="center" vertical="center"/>
    </xf>
    <xf numFmtId="167" fontId="13" fillId="2" borderId="6" xfId="0" applyNumberFormat="1" applyFont="1" applyFill="1" applyBorder="1" applyAlignment="1">
      <alignment horizontal="center" vertical="center"/>
    </xf>
    <xf numFmtId="0" fontId="14" fillId="2" borderId="2" xfId="0" applyFont="1" applyFill="1" applyBorder="1" applyAlignment="1">
      <alignment horizontal="center" vertical="center"/>
    </xf>
    <xf numFmtId="0" fontId="14" fillId="2" borderId="0" xfId="0" applyFont="1" applyFill="1" applyAlignment="1">
      <alignment horizontal="center" vertical="center"/>
    </xf>
    <xf numFmtId="0" fontId="14" fillId="2" borderId="6" xfId="0" applyFont="1" applyFill="1" applyBorder="1" applyAlignment="1">
      <alignment horizontal="center" vertical="center"/>
    </xf>
    <xf numFmtId="10" fontId="13" fillId="2" borderId="2" xfId="1" applyNumberFormat="1" applyFont="1" applyFill="1" applyBorder="1" applyAlignment="1">
      <alignment horizontal="center" vertical="center"/>
    </xf>
    <xf numFmtId="10" fontId="13" fillId="2" borderId="0" xfId="1" applyNumberFormat="1" applyFont="1" applyFill="1" applyBorder="1" applyAlignment="1">
      <alignment horizontal="center" vertical="center"/>
    </xf>
    <xf numFmtId="10" fontId="13" fillId="2" borderId="6" xfId="1" applyNumberFormat="1" applyFont="1" applyFill="1" applyBorder="1" applyAlignment="1">
      <alignment horizontal="center" vertical="center"/>
    </xf>
    <xf numFmtId="0" fontId="12" fillId="2" borderId="0" xfId="0" applyFont="1" applyFill="1" applyBorder="1" applyAlignment="1">
      <alignment horizontal="center"/>
    </xf>
    <xf numFmtId="167" fontId="13" fillId="2" borderId="0" xfId="0" applyNumberFormat="1" applyFont="1" applyFill="1" applyBorder="1" applyAlignment="1">
      <alignment horizontal="center" vertical="center"/>
    </xf>
    <xf numFmtId="0" fontId="15" fillId="2" borderId="10" xfId="0" applyFont="1" applyFill="1" applyBorder="1" applyAlignment="1">
      <alignment horizontal="center" vertical="center"/>
    </xf>
    <xf numFmtId="0" fontId="15" fillId="2" borderId="11" xfId="0" applyFont="1" applyFill="1" applyBorder="1" applyAlignment="1">
      <alignment horizontal="center" vertical="center"/>
    </xf>
    <xf numFmtId="0" fontId="15" fillId="2" borderId="12" xfId="0" applyFont="1" applyFill="1" applyBorder="1" applyAlignment="1">
      <alignment horizontal="center" vertical="center"/>
    </xf>
    <xf numFmtId="0" fontId="16" fillId="2" borderId="3" xfId="0" applyFont="1" applyFill="1" applyBorder="1" applyAlignment="1">
      <alignment horizontal="center" vertical="center"/>
    </xf>
    <xf numFmtId="0" fontId="16" fillId="2" borderId="4" xfId="0" applyFont="1" applyFill="1" applyBorder="1" applyAlignment="1">
      <alignment horizontal="center" vertical="center"/>
    </xf>
    <xf numFmtId="0" fontId="16" fillId="2" borderId="7" xfId="0" applyFont="1" applyFill="1" applyBorder="1" applyAlignment="1">
      <alignment horizontal="center" vertical="center"/>
    </xf>
    <xf numFmtId="0" fontId="16" fillId="2" borderId="8" xfId="0" applyFont="1" applyFill="1" applyBorder="1" applyAlignment="1">
      <alignment horizontal="center" vertical="center"/>
    </xf>
    <xf numFmtId="0" fontId="17" fillId="2" borderId="4" xfId="0" applyFont="1" applyFill="1" applyBorder="1" applyAlignment="1">
      <alignment horizontal="center" vertical="center"/>
    </xf>
    <xf numFmtId="0" fontId="17" fillId="2" borderId="5" xfId="0" applyFont="1" applyFill="1" applyBorder="1" applyAlignment="1">
      <alignment horizontal="center" vertical="center"/>
    </xf>
    <xf numFmtId="0" fontId="17" fillId="2" borderId="7" xfId="0" applyFont="1" applyFill="1" applyBorder="1" applyAlignment="1">
      <alignment horizontal="center" vertical="center"/>
    </xf>
    <xf numFmtId="0" fontId="17" fillId="2" borderId="8" xfId="0" applyFont="1" applyFill="1" applyBorder="1" applyAlignment="1">
      <alignment horizontal="center" vertical="center"/>
    </xf>
    <xf numFmtId="0" fontId="17" fillId="2" borderId="9" xfId="0" applyFont="1" applyFill="1" applyBorder="1" applyAlignment="1">
      <alignment horizontal="center" vertical="center"/>
    </xf>
    <xf numFmtId="0" fontId="9" fillId="3" borderId="6" xfId="0" applyFont="1" applyFill="1" applyBorder="1" applyAlignment="1">
      <alignment vertical="center" wrapText="1"/>
    </xf>
    <xf numFmtId="0" fontId="9" fillId="3" borderId="0" xfId="0" applyFont="1" applyFill="1" applyBorder="1" applyAlignment="1">
      <alignment horizontal="center" vertical="center" wrapText="1"/>
    </xf>
    <xf numFmtId="0" fontId="9" fillId="3" borderId="0" xfId="0" applyFont="1" applyFill="1" applyBorder="1" applyAlignment="1">
      <alignment vertical="center" wrapText="1"/>
    </xf>
  </cellXfs>
  <cellStyles count="2">
    <cellStyle name="Normal" xfId="0" builtinId="0"/>
    <cellStyle name="Percent" xfId="1" builtinId="5"/>
  </cellStyles>
  <dxfs count="17">
    <dxf>
      <numFmt numFmtId="19" formatCode="yyyy/mm/dd"/>
    </dxf>
    <dxf>
      <font>
        <color theme="9" tint="-0.499984740745262"/>
      </font>
      <fill>
        <patternFill>
          <bgColor theme="9"/>
        </patternFill>
      </fill>
    </dxf>
    <dxf>
      <font>
        <color rgb="FFC00000"/>
      </font>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dd/mm/yyyy"/>
    </dxf>
    <dxf>
      <numFmt numFmtId="164" formatCode="dd/mm/yyyy"/>
    </dxf>
    <dxf>
      <numFmt numFmtId="164" formatCode="dd/mm/yyyy"/>
    </dxf>
    <dxf>
      <numFmt numFmtId="164" formatCode="dd/mm/yyyy"/>
    </dxf>
    <dxf>
      <numFmt numFmtId="164" formatCode="dd/mm/yyyy"/>
    </dxf>
    <dxf>
      <numFmt numFmtId="164" formatCode="dd/mm/yyyy"/>
    </dxf>
    <dxf>
      <numFmt numFmtId="164" formatCode="dd/mm/yyyy"/>
    </dxf>
    <dxf>
      <font>
        <b/>
        <i val="0"/>
        <strike val="0"/>
        <condense val="0"/>
        <extend val="0"/>
        <outline val="0"/>
        <shadow val="0"/>
        <u val="none"/>
        <vertAlign val="baseline"/>
        <sz val="11"/>
        <color theme="1"/>
        <name val="Calibri"/>
        <family val="2"/>
        <scheme val="minor"/>
      </font>
    </dxf>
  </dxfs>
  <tableStyles count="0" defaultTableStyle="TableStyleMedium2" defaultPivotStyle="PivotStyleLight16"/>
  <colors>
    <mruColors>
      <color rgb="FF0F2A4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microsoft.com/office/2011/relationships/timelineCache" Target="timelineCaches/timelineCache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7/relationships/slicerCache" Target="slicerCaches/slicerCache5.xml"/><Relationship Id="rId25" Type="http://schemas.openxmlformats.org/officeDocument/2006/relationships/customXml" Target="../customXml/item1.xml"/><Relationship Id="rId2" Type="http://schemas.openxmlformats.org/officeDocument/2006/relationships/worksheet" Target="worksheets/sheet2.xml"/><Relationship Id="rId16" Type="http://schemas.microsoft.com/office/2007/relationships/slicerCache" Target="slicerCaches/slicerCache4.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microsoft.com/office/2007/relationships/slicerCache" Target="slicerCaches/slicerCache3.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[Business_Performance_MIS_Dashboard.xlsm]PivotTables!ptRegion</c:name>
    <c:fmtId val="13"/>
  </c:pivotSource>
  <c:chart>
    <c:title>
      <c:tx>
        <c:rich>
          <a:bodyPr rot="0" spcFirstLastPara="1" vertOverflow="ellipsis" vert="horz" wrap="square" anchor="ctr" anchorCtr="1"/>
          <a:lstStyle/>
          <a:p>
            <a:pPr>
              <a:defRPr sz="1600" b="1" i="0" u="none" strike="noStrike" kern="1200" spc="100" baseline="0">
                <a:solidFill>
                  <a:srgbClr val="002060"/>
                </a:solidFill>
                <a:effectLst>
                  <a:outerShdw blurRad="50800" dist="38100" dir="5400000" algn="t" rotWithShape="0">
                    <a:prstClr val="black">
                      <a:alpha val="40000"/>
                    </a:prstClr>
                  </a:outerShdw>
                </a:effectLst>
                <a:latin typeface="Aptos" panose="020B0004020202020204" pitchFamily="34" charset="0"/>
                <a:ea typeface="+mn-ea"/>
                <a:cs typeface="+mn-cs"/>
              </a:defRPr>
            </a:pPr>
            <a:r>
              <a:rPr lang="en-US">
                <a:solidFill>
                  <a:srgbClr val="002060"/>
                </a:solidFill>
                <a:latin typeface="Aptos" panose="020B0004020202020204" pitchFamily="34" charset="0"/>
              </a:rPr>
              <a:t>COMPLETED SALES BY REGION</a:t>
            </a:r>
          </a:p>
        </c:rich>
      </c:tx>
      <c:overlay val="0"/>
      <c:spPr>
        <a:noFill/>
        <a:ln>
          <a:noFill/>
        </a:ln>
        <a:effectLst/>
      </c:spPr>
      <c:txPr>
        <a:bodyPr rot="0" spcFirstLastPara="1" vertOverflow="ellipsis" vert="horz" wrap="square" anchor="ctr" anchorCtr="1"/>
        <a:lstStyle/>
        <a:p>
          <a:pPr>
            <a:defRPr sz="1600" b="1" i="0" u="none" strike="noStrike" kern="1200" spc="100" baseline="0">
              <a:solidFill>
                <a:srgbClr val="002060"/>
              </a:solidFill>
              <a:effectLst>
                <a:outerShdw blurRad="50800" dist="38100" dir="5400000" algn="t" rotWithShape="0">
                  <a:prstClr val="black">
                    <a:alpha val="40000"/>
                  </a:prstClr>
                </a:outerShdw>
              </a:effectLst>
              <a:latin typeface="Aptos" panose="020B0004020202020204" pitchFamily="34" charset="0"/>
              <a:ea typeface="+mn-ea"/>
              <a:cs typeface="+mn-cs"/>
            </a:defRPr>
          </a:pPr>
          <a:endParaRPr lang="en-US"/>
        </a:p>
      </c:txPr>
    </c:title>
    <c:autoTitleDeleted val="0"/>
    <c:pivotFmts>
      <c:pivotFmt>
        <c:idx val="0"/>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5"/>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6"/>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PivotTables!$B$3</c:f>
              <c:strCache>
                <c:ptCount val="1"/>
                <c:pt idx="0">
                  <c:v>Completed Sales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PivotTables!$A$4:$A$8</c:f>
              <c:strCache>
                <c:ptCount val="4"/>
                <c:pt idx="0">
                  <c:v>North</c:v>
                </c:pt>
                <c:pt idx="1">
                  <c:v>South</c:v>
                </c:pt>
                <c:pt idx="2">
                  <c:v>East</c:v>
                </c:pt>
                <c:pt idx="3">
                  <c:v>West</c:v>
                </c:pt>
              </c:strCache>
            </c:strRef>
          </c:cat>
          <c:val>
            <c:numRef>
              <c:f>PivotTables!$B$4:$B$8</c:f>
              <c:numCache>
                <c:formatCode>[$₹-4009]\ #,##0.00</c:formatCode>
                <c:ptCount val="4"/>
                <c:pt idx="0">
                  <c:v>453000</c:v>
                </c:pt>
                <c:pt idx="1">
                  <c:v>445000</c:v>
                </c:pt>
                <c:pt idx="2">
                  <c:v>400000</c:v>
                </c:pt>
                <c:pt idx="3">
                  <c:v>264000</c:v>
                </c:pt>
              </c:numCache>
            </c:numRef>
          </c:val>
          <c:extLst>
            <c:ext xmlns:c16="http://schemas.microsoft.com/office/drawing/2014/chart" uri="{C3380CC4-5D6E-409C-BE32-E72D297353CC}">
              <c16:uniqueId val="{00000000-B9C5-4709-AA0E-912AF948474B}"/>
            </c:ext>
          </c:extLst>
        </c:ser>
        <c:ser>
          <c:idx val="1"/>
          <c:order val="1"/>
          <c:tx>
            <c:strRef>
              <c:f>PivotTables!$C$3</c:f>
              <c:strCache>
                <c:ptCount val="1"/>
                <c:pt idx="0">
                  <c:v>Sum of Completed_Profit</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PivotTables!$A$4:$A$8</c:f>
              <c:strCache>
                <c:ptCount val="4"/>
                <c:pt idx="0">
                  <c:v>North</c:v>
                </c:pt>
                <c:pt idx="1">
                  <c:v>South</c:v>
                </c:pt>
                <c:pt idx="2">
                  <c:v>East</c:v>
                </c:pt>
                <c:pt idx="3">
                  <c:v>West</c:v>
                </c:pt>
              </c:strCache>
            </c:strRef>
          </c:cat>
          <c:val>
            <c:numRef>
              <c:f>PivotTables!$C$4:$C$8</c:f>
              <c:numCache>
                <c:formatCode>General</c:formatCode>
                <c:ptCount val="4"/>
                <c:pt idx="0">
                  <c:v>124800</c:v>
                </c:pt>
                <c:pt idx="1">
                  <c:v>128000</c:v>
                </c:pt>
                <c:pt idx="2">
                  <c:v>114000</c:v>
                </c:pt>
                <c:pt idx="3">
                  <c:v>74000</c:v>
                </c:pt>
              </c:numCache>
            </c:numRef>
          </c:val>
          <c:extLst>
            <c:ext xmlns:c16="http://schemas.microsoft.com/office/drawing/2014/chart" uri="{C3380CC4-5D6E-409C-BE32-E72D297353CC}">
              <c16:uniqueId val="{00000001-B9C5-4709-AA0E-912AF948474B}"/>
            </c:ext>
          </c:extLst>
        </c:ser>
        <c:ser>
          <c:idx val="2"/>
          <c:order val="2"/>
          <c:tx>
            <c:strRef>
              <c:f>PivotTables!$D$3</c:f>
              <c:strCache>
                <c:ptCount val="1"/>
                <c:pt idx="0">
                  <c:v>Count of Order_Id</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PivotTables!$A$4:$A$8</c:f>
              <c:strCache>
                <c:ptCount val="4"/>
                <c:pt idx="0">
                  <c:v>North</c:v>
                </c:pt>
                <c:pt idx="1">
                  <c:v>South</c:v>
                </c:pt>
                <c:pt idx="2">
                  <c:v>East</c:v>
                </c:pt>
                <c:pt idx="3">
                  <c:v>West</c:v>
                </c:pt>
              </c:strCache>
            </c:strRef>
          </c:cat>
          <c:val>
            <c:numRef>
              <c:f>PivotTables!$D$4:$D$8</c:f>
              <c:numCache>
                <c:formatCode>General</c:formatCode>
                <c:ptCount val="4"/>
                <c:pt idx="0">
                  <c:v>8</c:v>
                </c:pt>
                <c:pt idx="1">
                  <c:v>8</c:v>
                </c:pt>
                <c:pt idx="2">
                  <c:v>7</c:v>
                </c:pt>
                <c:pt idx="3">
                  <c:v>7</c:v>
                </c:pt>
              </c:numCache>
            </c:numRef>
          </c:val>
          <c:extLst>
            <c:ext xmlns:c16="http://schemas.microsoft.com/office/drawing/2014/chart" uri="{C3380CC4-5D6E-409C-BE32-E72D297353CC}">
              <c16:uniqueId val="{00000002-B9C5-4709-AA0E-912AF948474B}"/>
            </c:ext>
          </c:extLst>
        </c:ser>
        <c:dLbls>
          <c:dLblPos val="outEnd"/>
          <c:showLegendKey val="0"/>
          <c:showVal val="1"/>
          <c:showCatName val="0"/>
          <c:showSerName val="0"/>
          <c:showPercent val="0"/>
          <c:showBubbleSize val="0"/>
        </c:dLbls>
        <c:gapWidth val="100"/>
        <c:overlap val="-24"/>
        <c:axId val="636211152"/>
        <c:axId val="2051493712"/>
      </c:barChart>
      <c:catAx>
        <c:axId val="63621115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51493712"/>
        <c:crosses val="autoZero"/>
        <c:auto val="1"/>
        <c:lblAlgn val="ctr"/>
        <c:lblOffset val="100"/>
        <c:noMultiLvlLbl val="0"/>
      </c:catAx>
      <c:valAx>
        <c:axId val="2051493712"/>
        <c:scaling>
          <c:orientation val="minMax"/>
        </c:scaling>
        <c:delete val="1"/>
        <c:axPos val="l"/>
        <c:majorGridlines>
          <c:spPr>
            <a:ln w="9525" cap="flat" cmpd="sng" algn="ctr">
              <a:noFill/>
              <a:round/>
            </a:ln>
            <a:effectLst/>
          </c:spPr>
        </c:majorGridlines>
        <c:numFmt formatCode="[$₹-4009]\ #,##0.00" sourceLinked="1"/>
        <c:majorTickMark val="none"/>
        <c:minorTickMark val="none"/>
        <c:tickLblPos val="nextTo"/>
        <c:crossAx val="6362111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[Business_Performance_MIS_Dashboard.xlsm]PivotTables!ptProduct</c:name>
    <c:fmtId val="8"/>
  </c:pivotSource>
  <c:chart>
    <c:title>
      <c:tx>
        <c:rich>
          <a:bodyPr rot="0" spcFirstLastPara="1" vertOverflow="ellipsis" vert="horz" wrap="square" anchor="ctr" anchorCtr="1"/>
          <a:lstStyle/>
          <a:p>
            <a:pPr>
              <a:defRPr sz="1800" b="1" i="0" u="none" strike="noStrike" kern="1200" cap="all" baseline="0">
                <a:solidFill>
                  <a:srgbClr val="002060"/>
                </a:solidFill>
                <a:latin typeface="Aptos" panose="020B0004020202020204" pitchFamily="34" charset="0"/>
                <a:ea typeface="+mn-ea"/>
                <a:cs typeface="+mn-cs"/>
              </a:defRPr>
            </a:pPr>
            <a:r>
              <a:rPr lang="en-US" b="1">
                <a:solidFill>
                  <a:srgbClr val="002060"/>
                </a:solidFill>
                <a:latin typeface="Aptos" panose="020B0004020202020204" pitchFamily="34" charset="0"/>
              </a:rPr>
              <a:t>Product Sales pErformance</a:t>
            </a:r>
          </a:p>
        </c:rich>
      </c:tx>
      <c:overlay val="0"/>
      <c:spPr>
        <a:noFill/>
        <a:ln>
          <a:noFill/>
        </a:ln>
        <a:effectLst/>
      </c:spPr>
      <c:txPr>
        <a:bodyPr rot="0" spcFirstLastPara="1" vertOverflow="ellipsis" vert="horz" wrap="square" anchor="ctr" anchorCtr="1"/>
        <a:lstStyle/>
        <a:p>
          <a:pPr>
            <a:defRPr sz="1800" b="1" i="0" u="none" strike="noStrike" kern="1200" cap="all" baseline="0">
              <a:solidFill>
                <a:srgbClr val="002060"/>
              </a:solidFill>
              <a:latin typeface="Aptos" panose="020B0004020202020204" pitchFamily="34" charset="0"/>
              <a:ea typeface="+mn-ea"/>
              <a:cs typeface="+mn-cs"/>
            </a:defRPr>
          </a:pPr>
          <a:endParaRPr lang="en-US"/>
        </a:p>
      </c:txPr>
    </c:title>
    <c:autoTitleDeleted val="0"/>
    <c:pivotFmts>
      <c:pivotFmt>
        <c:idx val="0"/>
        <c:spPr>
          <a:solidFill>
            <a:schemeClr val="accent1">
              <a:alpha val="88000"/>
            </a:schemeClr>
          </a:solidFill>
          <a:ln>
            <a:solidFill>
              <a:schemeClr val="accent1">
                <a:lumMod val="50000"/>
              </a:schemeClr>
            </a:solidFill>
          </a:ln>
          <a:effectLst/>
        </c:spPr>
        <c:marker>
          <c:symbol val="none"/>
        </c:marker>
        <c:dLbl>
          <c:idx val="0"/>
          <c:spPr>
            <a:solidFill>
              <a:srgbClr val="4472C4">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ED7D31">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88000"/>
            </a:schemeClr>
          </a:solidFill>
          <a:ln>
            <a:solidFill>
              <a:schemeClr val="accent1">
                <a:lumMod val="50000"/>
              </a:schemeClr>
            </a:solidFill>
          </a:ln>
          <a:effectLst/>
        </c:spPr>
        <c:marker>
          <c:symbol val="none"/>
        </c:marker>
        <c:dLbl>
          <c:idx val="0"/>
          <c:spPr>
            <a:solidFill>
              <a:srgbClr val="ED7D31">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88000"/>
            </a:schemeClr>
          </a:solidFill>
          <a:ln>
            <a:solidFill>
              <a:schemeClr val="accent1">
                <a:lumMod val="50000"/>
              </a:schemeClr>
            </a:solidFill>
          </a:ln>
          <a:effectLst/>
        </c:spPr>
        <c:marker>
          <c:symbol val="none"/>
        </c:marker>
        <c:dLbl>
          <c:idx val="0"/>
          <c:spPr>
            <a:solidFill>
              <a:srgbClr val="A5A5A5">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88000"/>
            </a:schemeClr>
          </a:solidFill>
          <a:ln>
            <a:solidFill>
              <a:schemeClr val="accent1">
                <a:lumMod val="50000"/>
              </a:schemeClr>
            </a:solidFill>
          </a:ln>
          <a:effectLst/>
        </c:spPr>
        <c:marker>
          <c:symbol val="none"/>
        </c:marker>
        <c:dLbl>
          <c:idx val="0"/>
          <c:spPr>
            <a:solidFill>
              <a:srgbClr val="4472C4">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alpha val="88000"/>
            </a:schemeClr>
          </a:solidFill>
          <a:ln>
            <a:solidFill>
              <a:schemeClr val="accent1">
                <a:lumMod val="50000"/>
              </a:schemeClr>
            </a:solidFill>
          </a:ln>
          <a:effectLst/>
        </c:spPr>
        <c:marker>
          <c:symbol val="none"/>
        </c:marker>
        <c:dLbl>
          <c:idx val="0"/>
          <c:spPr>
            <a:solidFill>
              <a:srgbClr val="ED7D31">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alpha val="88000"/>
            </a:schemeClr>
          </a:solidFill>
          <a:ln>
            <a:solidFill>
              <a:schemeClr val="accent1">
                <a:lumMod val="50000"/>
              </a:schemeClr>
            </a:solidFill>
          </a:ln>
          <a:effectLst/>
        </c:spPr>
        <c:marker>
          <c:symbol val="none"/>
        </c:marker>
        <c:dLbl>
          <c:idx val="0"/>
          <c:spPr>
            <a:solidFill>
              <a:srgbClr val="A5A5A5">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alpha val="88000"/>
            </a:schemeClr>
          </a:solidFill>
          <a:ln>
            <a:solidFill>
              <a:schemeClr val="accent1">
                <a:lumMod val="50000"/>
              </a:schemeClr>
            </a:solidFill>
          </a:ln>
          <a:effectLst/>
        </c:spPr>
        <c:marker>
          <c:symbol val="none"/>
        </c:marker>
        <c:dLbl>
          <c:idx val="0"/>
          <c:spPr>
            <a:solidFill>
              <a:srgbClr val="4472C4">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alpha val="88000"/>
            </a:schemeClr>
          </a:solidFill>
          <a:ln>
            <a:solidFill>
              <a:schemeClr val="accent1">
                <a:lumMod val="50000"/>
              </a:schemeClr>
            </a:solidFill>
          </a:ln>
          <a:effectLst/>
        </c:spPr>
        <c:marker>
          <c:symbol val="none"/>
        </c:marker>
        <c:dLbl>
          <c:idx val="0"/>
          <c:spPr>
            <a:solidFill>
              <a:srgbClr val="ED7D31">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88000"/>
            </a:schemeClr>
          </a:solidFill>
          <a:ln>
            <a:solidFill>
              <a:schemeClr val="accent1">
                <a:lumMod val="50000"/>
              </a:schemeClr>
            </a:solidFill>
          </a:ln>
          <a:effectLst/>
        </c:spPr>
        <c:marker>
          <c:symbol val="none"/>
        </c:marker>
        <c:dLbl>
          <c:idx val="0"/>
          <c:spPr>
            <a:solidFill>
              <a:srgbClr val="A5A5A5">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alpha val="88000"/>
            </a:schemeClr>
          </a:solidFill>
          <a:ln>
            <a:solidFill>
              <a:schemeClr val="accent1">
                <a:lumMod val="50000"/>
              </a:schemeClr>
            </a:solidFill>
          </a:ln>
          <a:effectLst/>
        </c:spPr>
        <c:marker>
          <c:symbol val="none"/>
        </c:marker>
        <c:dLbl>
          <c:idx val="0"/>
          <c:spPr>
            <a:solidFill>
              <a:srgbClr val="4472C4">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alpha val="88000"/>
            </a:schemeClr>
          </a:solidFill>
          <a:ln>
            <a:solidFill>
              <a:schemeClr val="accent1">
                <a:lumMod val="50000"/>
              </a:schemeClr>
            </a:solidFill>
          </a:ln>
          <a:effectLst/>
        </c:spPr>
        <c:marker>
          <c:symbol val="none"/>
        </c:marker>
        <c:dLbl>
          <c:idx val="0"/>
          <c:spPr>
            <a:solidFill>
              <a:srgbClr val="ED7D31">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alpha val="88000"/>
            </a:schemeClr>
          </a:solidFill>
          <a:ln>
            <a:solidFill>
              <a:schemeClr val="accent1">
                <a:lumMod val="50000"/>
              </a:schemeClr>
            </a:solidFill>
          </a:ln>
          <a:effectLst/>
        </c:spPr>
        <c:marker>
          <c:symbol val="none"/>
        </c:marker>
        <c:dLbl>
          <c:idx val="0"/>
          <c:spPr>
            <a:solidFill>
              <a:srgbClr val="A5A5A5">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PivotTables!$K$1</c:f>
              <c:strCache>
                <c:ptCount val="1"/>
                <c:pt idx="0">
                  <c:v>Completed Sales</c:v>
                </c:pt>
              </c:strCache>
            </c:strRef>
          </c:tx>
          <c:spPr>
            <a:solidFill>
              <a:schemeClr val="accent1">
                <a:alpha val="88000"/>
              </a:schemeClr>
            </a:solidFill>
            <a:ln>
              <a:solidFill>
                <a:schemeClr val="accent1">
                  <a:lumMod val="50000"/>
                </a:schemeClr>
              </a:solidFill>
            </a:ln>
            <a:effectLst/>
          </c:spPr>
          <c:invertIfNegative val="0"/>
          <c:dLbls>
            <c:spPr>
              <a:solidFill>
                <a:srgbClr val="4472C4">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PivotTables!$J$2:$J$9</c:f>
              <c:strCache>
                <c:ptCount val="7"/>
                <c:pt idx="0">
                  <c:v>Desk</c:v>
                </c:pt>
                <c:pt idx="1">
                  <c:v>Keyboard</c:v>
                </c:pt>
                <c:pt idx="2">
                  <c:v>Laptop</c:v>
                </c:pt>
                <c:pt idx="3">
                  <c:v>Mobile</c:v>
                </c:pt>
                <c:pt idx="4">
                  <c:v>Monitor</c:v>
                </c:pt>
                <c:pt idx="5">
                  <c:v>Mouse</c:v>
                </c:pt>
                <c:pt idx="6">
                  <c:v>Office Chair</c:v>
                </c:pt>
              </c:strCache>
            </c:strRef>
          </c:cat>
          <c:val>
            <c:numRef>
              <c:f>PivotTables!$K$2:$K$9</c:f>
              <c:numCache>
                <c:formatCode>General</c:formatCode>
                <c:ptCount val="7"/>
                <c:pt idx="0">
                  <c:v>180000</c:v>
                </c:pt>
                <c:pt idx="1">
                  <c:v>70000</c:v>
                </c:pt>
                <c:pt idx="2">
                  <c:v>420000</c:v>
                </c:pt>
                <c:pt idx="3">
                  <c:v>440000</c:v>
                </c:pt>
                <c:pt idx="4">
                  <c:v>220000</c:v>
                </c:pt>
                <c:pt idx="5">
                  <c:v>62000</c:v>
                </c:pt>
                <c:pt idx="6">
                  <c:v>170000</c:v>
                </c:pt>
              </c:numCache>
            </c:numRef>
          </c:val>
          <c:extLst>
            <c:ext xmlns:c16="http://schemas.microsoft.com/office/drawing/2014/chart" uri="{C3380CC4-5D6E-409C-BE32-E72D297353CC}">
              <c16:uniqueId val="{00000000-8CEC-4A38-8E8D-423ABFE3DCA9}"/>
            </c:ext>
          </c:extLst>
        </c:ser>
        <c:ser>
          <c:idx val="1"/>
          <c:order val="1"/>
          <c:tx>
            <c:strRef>
              <c:f>PivotTables!$L$1</c:f>
              <c:strCache>
                <c:ptCount val="1"/>
                <c:pt idx="0">
                  <c:v>Sum of Completed_Profit</c:v>
                </c:pt>
              </c:strCache>
            </c:strRef>
          </c:tx>
          <c:spPr>
            <a:solidFill>
              <a:schemeClr val="accent2">
                <a:alpha val="88000"/>
              </a:schemeClr>
            </a:solidFill>
            <a:ln>
              <a:solidFill>
                <a:schemeClr val="accent2">
                  <a:lumMod val="50000"/>
                </a:schemeClr>
              </a:solidFill>
            </a:ln>
            <a:effectLst/>
          </c:spPr>
          <c:invertIfNegative val="0"/>
          <c:dLbls>
            <c:spPr>
              <a:solidFill>
                <a:srgbClr val="ED7D31">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PivotTables!$J$2:$J$9</c:f>
              <c:strCache>
                <c:ptCount val="7"/>
                <c:pt idx="0">
                  <c:v>Desk</c:v>
                </c:pt>
                <c:pt idx="1">
                  <c:v>Keyboard</c:v>
                </c:pt>
                <c:pt idx="2">
                  <c:v>Laptop</c:v>
                </c:pt>
                <c:pt idx="3">
                  <c:v>Mobile</c:v>
                </c:pt>
                <c:pt idx="4">
                  <c:v>Monitor</c:v>
                </c:pt>
                <c:pt idx="5">
                  <c:v>Mouse</c:v>
                </c:pt>
                <c:pt idx="6">
                  <c:v>Office Chair</c:v>
                </c:pt>
              </c:strCache>
            </c:strRef>
          </c:cat>
          <c:val>
            <c:numRef>
              <c:f>PivotTables!$L$2:$L$9</c:f>
              <c:numCache>
                <c:formatCode>General</c:formatCode>
                <c:ptCount val="7"/>
                <c:pt idx="0">
                  <c:v>60000</c:v>
                </c:pt>
                <c:pt idx="1">
                  <c:v>28000</c:v>
                </c:pt>
                <c:pt idx="2">
                  <c:v>105000</c:v>
                </c:pt>
                <c:pt idx="3">
                  <c:v>110000</c:v>
                </c:pt>
                <c:pt idx="4">
                  <c:v>55000</c:v>
                </c:pt>
                <c:pt idx="5">
                  <c:v>24800</c:v>
                </c:pt>
                <c:pt idx="6">
                  <c:v>58000</c:v>
                </c:pt>
              </c:numCache>
            </c:numRef>
          </c:val>
          <c:extLst>
            <c:ext xmlns:c16="http://schemas.microsoft.com/office/drawing/2014/chart" uri="{C3380CC4-5D6E-409C-BE32-E72D297353CC}">
              <c16:uniqueId val="{00000001-8CEC-4A38-8E8D-423ABFE3DCA9}"/>
            </c:ext>
          </c:extLst>
        </c:ser>
        <c:ser>
          <c:idx val="2"/>
          <c:order val="2"/>
          <c:tx>
            <c:strRef>
              <c:f>PivotTables!$M$1</c:f>
              <c:strCache>
                <c:ptCount val="1"/>
                <c:pt idx="0">
                  <c:v>Sum of Completed_Quantity</c:v>
                </c:pt>
              </c:strCache>
            </c:strRef>
          </c:tx>
          <c:spPr>
            <a:solidFill>
              <a:schemeClr val="accent3">
                <a:alpha val="88000"/>
              </a:schemeClr>
            </a:solidFill>
            <a:ln>
              <a:solidFill>
                <a:schemeClr val="accent3">
                  <a:lumMod val="50000"/>
                </a:schemeClr>
              </a:solidFill>
            </a:ln>
            <a:effectLst/>
          </c:spPr>
          <c:invertIfNegative val="0"/>
          <c:dLbls>
            <c:spPr>
              <a:solidFill>
                <a:srgbClr val="A5A5A5">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PivotTables!$J$2:$J$9</c:f>
              <c:strCache>
                <c:ptCount val="7"/>
                <c:pt idx="0">
                  <c:v>Desk</c:v>
                </c:pt>
                <c:pt idx="1">
                  <c:v>Keyboard</c:v>
                </c:pt>
                <c:pt idx="2">
                  <c:v>Laptop</c:v>
                </c:pt>
                <c:pt idx="3">
                  <c:v>Mobile</c:v>
                </c:pt>
                <c:pt idx="4">
                  <c:v>Monitor</c:v>
                </c:pt>
                <c:pt idx="5">
                  <c:v>Mouse</c:v>
                </c:pt>
                <c:pt idx="6">
                  <c:v>Office Chair</c:v>
                </c:pt>
              </c:strCache>
            </c:strRef>
          </c:cat>
          <c:val>
            <c:numRef>
              <c:f>PivotTables!$M$2:$M$9</c:f>
              <c:numCache>
                <c:formatCode>General</c:formatCode>
                <c:ptCount val="7"/>
                <c:pt idx="0">
                  <c:v>12</c:v>
                </c:pt>
                <c:pt idx="1">
                  <c:v>28</c:v>
                </c:pt>
                <c:pt idx="2">
                  <c:v>7</c:v>
                </c:pt>
                <c:pt idx="3">
                  <c:v>22</c:v>
                </c:pt>
                <c:pt idx="4">
                  <c:v>11</c:v>
                </c:pt>
                <c:pt idx="5">
                  <c:v>62</c:v>
                </c:pt>
                <c:pt idx="6">
                  <c:v>14</c:v>
                </c:pt>
              </c:numCache>
            </c:numRef>
          </c:val>
          <c:extLst>
            <c:ext xmlns:c16="http://schemas.microsoft.com/office/drawing/2014/chart" uri="{C3380CC4-5D6E-409C-BE32-E72D297353CC}">
              <c16:uniqueId val="{00000002-8CEC-4A38-8E8D-423ABFE3DCA9}"/>
            </c:ext>
          </c:extLst>
        </c:ser>
        <c:dLbls>
          <c:showLegendKey val="0"/>
          <c:showVal val="1"/>
          <c:showCatName val="0"/>
          <c:showSerName val="0"/>
          <c:showPercent val="0"/>
          <c:showBubbleSize val="0"/>
        </c:dLbls>
        <c:gapWidth val="84"/>
        <c:axId val="636185168"/>
        <c:axId val="2051526832"/>
      </c:barChart>
      <c:catAx>
        <c:axId val="63618516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051526832"/>
        <c:crosses val="autoZero"/>
        <c:auto val="1"/>
        <c:lblAlgn val="ctr"/>
        <c:lblOffset val="100"/>
        <c:noMultiLvlLbl val="0"/>
      </c:catAx>
      <c:valAx>
        <c:axId val="2051526832"/>
        <c:scaling>
          <c:orientation val="minMax"/>
        </c:scaling>
        <c:delete val="1"/>
        <c:axPos val="b"/>
        <c:numFmt formatCode="General" sourceLinked="1"/>
        <c:majorTickMark val="out"/>
        <c:minorTickMark val="none"/>
        <c:tickLblPos val="nextTo"/>
        <c:crossAx val="6361851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6350"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[Business_Performance_MIS_Dashboard.xlsm]PivotTables!ptSalesperson</c:name>
    <c:fmtId val="8"/>
  </c:pivotSource>
  <c:chart>
    <c:title>
      <c:tx>
        <c:rich>
          <a:bodyPr rot="0" spcFirstLastPara="1" vertOverflow="ellipsis" vert="horz" wrap="square" anchor="ctr" anchorCtr="1"/>
          <a:lstStyle/>
          <a:p>
            <a:pPr>
              <a:defRPr sz="1600" b="1" i="0" u="none" strike="noStrike" kern="1200" spc="100" baseline="0">
                <a:solidFill>
                  <a:srgbClr val="002060"/>
                </a:solidFill>
                <a:effectLst>
                  <a:outerShdw blurRad="50800" dist="38100" dir="5400000" algn="t" rotWithShape="0">
                    <a:prstClr val="black">
                      <a:alpha val="40000"/>
                    </a:prstClr>
                  </a:outerShdw>
                </a:effectLst>
                <a:latin typeface="Aptos" panose="020B0004020202020204" pitchFamily="34" charset="0"/>
                <a:ea typeface="+mn-ea"/>
                <a:cs typeface="+mn-cs"/>
              </a:defRPr>
            </a:pPr>
            <a:r>
              <a:rPr lang="en-US">
                <a:solidFill>
                  <a:srgbClr val="002060"/>
                </a:solidFill>
                <a:latin typeface="Aptos" panose="020B0004020202020204" pitchFamily="34" charset="0"/>
              </a:rPr>
              <a:t>SALESPERSON PERFORMANCE</a:t>
            </a:r>
          </a:p>
        </c:rich>
      </c:tx>
      <c:overlay val="0"/>
      <c:spPr>
        <a:noFill/>
        <a:ln>
          <a:noFill/>
        </a:ln>
        <a:effectLst/>
      </c:spPr>
      <c:txPr>
        <a:bodyPr rot="0" spcFirstLastPara="1" vertOverflow="ellipsis" vert="horz" wrap="square" anchor="ctr" anchorCtr="1"/>
        <a:lstStyle/>
        <a:p>
          <a:pPr>
            <a:defRPr sz="1600" b="1" i="0" u="none" strike="noStrike" kern="1200" spc="100" baseline="0">
              <a:solidFill>
                <a:srgbClr val="002060"/>
              </a:solidFill>
              <a:effectLst>
                <a:outerShdw blurRad="50800" dist="38100" dir="5400000" algn="t" rotWithShape="0">
                  <a:prstClr val="black">
                    <a:alpha val="40000"/>
                  </a:prstClr>
                </a:outerShdw>
              </a:effectLst>
              <a:latin typeface="Aptos" panose="020B0004020202020204" pitchFamily="34" charset="0"/>
              <a:ea typeface="+mn-ea"/>
              <a:cs typeface="+mn-cs"/>
            </a:defRPr>
          </a:pPr>
          <a:endParaRPr lang="en-US"/>
        </a:p>
      </c:txPr>
    </c:title>
    <c:autoTitleDeleted val="0"/>
    <c:pivotFmts>
      <c:pivotFmt>
        <c:idx val="0"/>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795435160425793"/>
          <c:y val="0.20287788153787603"/>
          <c:w val="0.78612780988614239"/>
          <c:h val="0.65010958240712835"/>
        </c:manualLayout>
      </c:layout>
      <c:barChart>
        <c:barDir val="col"/>
        <c:grouping val="clustered"/>
        <c:varyColors val="0"/>
        <c:ser>
          <c:idx val="0"/>
          <c:order val="0"/>
          <c:tx>
            <c:strRef>
              <c:f>PivotTables!$B$20</c:f>
              <c:strCache>
                <c:ptCount val="1"/>
                <c:pt idx="0">
                  <c:v>Completed Sales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PivotTables!$A$21:$A$25</c:f>
              <c:strCache>
                <c:ptCount val="4"/>
                <c:pt idx="0">
                  <c:v>Amit</c:v>
                </c:pt>
                <c:pt idx="1">
                  <c:v>Neha</c:v>
                </c:pt>
                <c:pt idx="2">
                  <c:v>Priya</c:v>
                </c:pt>
                <c:pt idx="3">
                  <c:v>Rahul</c:v>
                </c:pt>
              </c:strCache>
            </c:strRef>
          </c:cat>
          <c:val>
            <c:numRef>
              <c:f>PivotTables!$B$21:$B$25</c:f>
              <c:numCache>
                <c:formatCode>General</c:formatCode>
                <c:ptCount val="4"/>
                <c:pt idx="0">
                  <c:v>453000</c:v>
                </c:pt>
                <c:pt idx="1">
                  <c:v>264000</c:v>
                </c:pt>
                <c:pt idx="2">
                  <c:v>445000</c:v>
                </c:pt>
                <c:pt idx="3">
                  <c:v>400000</c:v>
                </c:pt>
              </c:numCache>
            </c:numRef>
          </c:val>
          <c:extLst>
            <c:ext xmlns:c16="http://schemas.microsoft.com/office/drawing/2014/chart" uri="{C3380CC4-5D6E-409C-BE32-E72D297353CC}">
              <c16:uniqueId val="{00000000-9715-4363-8051-D963C382C6BD}"/>
            </c:ext>
          </c:extLst>
        </c:ser>
        <c:ser>
          <c:idx val="1"/>
          <c:order val="1"/>
          <c:tx>
            <c:strRef>
              <c:f>PivotTables!$C$20</c:f>
              <c:strCache>
                <c:ptCount val="1"/>
                <c:pt idx="0">
                  <c:v>Sum of Completed_Profit</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PivotTables!$A$21:$A$25</c:f>
              <c:strCache>
                <c:ptCount val="4"/>
                <c:pt idx="0">
                  <c:v>Amit</c:v>
                </c:pt>
                <c:pt idx="1">
                  <c:v>Neha</c:v>
                </c:pt>
                <c:pt idx="2">
                  <c:v>Priya</c:v>
                </c:pt>
                <c:pt idx="3">
                  <c:v>Rahul</c:v>
                </c:pt>
              </c:strCache>
            </c:strRef>
          </c:cat>
          <c:val>
            <c:numRef>
              <c:f>PivotTables!$C$21:$C$25</c:f>
              <c:numCache>
                <c:formatCode>General</c:formatCode>
                <c:ptCount val="4"/>
                <c:pt idx="0">
                  <c:v>124800</c:v>
                </c:pt>
                <c:pt idx="1">
                  <c:v>74000</c:v>
                </c:pt>
                <c:pt idx="2">
                  <c:v>128000</c:v>
                </c:pt>
                <c:pt idx="3">
                  <c:v>114000</c:v>
                </c:pt>
              </c:numCache>
            </c:numRef>
          </c:val>
          <c:extLst>
            <c:ext xmlns:c16="http://schemas.microsoft.com/office/drawing/2014/chart" uri="{C3380CC4-5D6E-409C-BE32-E72D297353CC}">
              <c16:uniqueId val="{00000001-9715-4363-8051-D963C382C6BD}"/>
            </c:ext>
          </c:extLst>
        </c:ser>
        <c:dLbls>
          <c:dLblPos val="outEnd"/>
          <c:showLegendKey val="0"/>
          <c:showVal val="1"/>
          <c:showCatName val="0"/>
          <c:showSerName val="0"/>
          <c:showPercent val="0"/>
          <c:showBubbleSize val="0"/>
        </c:dLbls>
        <c:gapWidth val="100"/>
        <c:overlap val="-24"/>
        <c:axId val="622091648"/>
        <c:axId val="2051504752"/>
      </c:barChart>
      <c:catAx>
        <c:axId val="62209164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51504752"/>
        <c:crosses val="autoZero"/>
        <c:auto val="1"/>
        <c:lblAlgn val="ctr"/>
        <c:lblOffset val="100"/>
        <c:noMultiLvlLbl val="0"/>
      </c:catAx>
      <c:valAx>
        <c:axId val="2051504752"/>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6220916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[Business_Performance_MIS_Dashboard.xlsm]PivotTables!ptDailySales</c:name>
    <c:fmtId val="4"/>
  </c:pivotSource>
  <c:chart>
    <c:title>
      <c:tx>
        <c:rich>
          <a:bodyPr rot="0" spcFirstLastPara="1" vertOverflow="ellipsis" vert="horz" wrap="square" anchor="ctr" anchorCtr="1"/>
          <a:lstStyle/>
          <a:p>
            <a:pPr>
              <a:defRPr sz="1400" b="1" i="0" u="none" strike="noStrike" kern="1200" cap="none" baseline="0">
                <a:solidFill>
                  <a:srgbClr val="002060"/>
                </a:solidFill>
                <a:latin typeface="Aptos" panose="020B0004020202020204" pitchFamily="34" charset="0"/>
                <a:ea typeface="+mn-ea"/>
                <a:cs typeface="+mn-cs"/>
              </a:defRPr>
            </a:pPr>
            <a:r>
              <a:rPr lang="en-US">
                <a:solidFill>
                  <a:srgbClr val="002060"/>
                </a:solidFill>
                <a:latin typeface="Aptos" panose="020B0004020202020204" pitchFamily="34" charset="0"/>
              </a:rPr>
              <a:t>Daily Completed Sales Trend </a:t>
            </a:r>
          </a:p>
        </c:rich>
      </c:tx>
      <c:overlay val="0"/>
      <c:spPr>
        <a:noFill/>
        <a:ln>
          <a:noFill/>
        </a:ln>
        <a:effectLst/>
      </c:spPr>
      <c:txPr>
        <a:bodyPr rot="0" spcFirstLastPara="1" vertOverflow="ellipsis" vert="horz" wrap="square" anchor="ctr" anchorCtr="1"/>
        <a:lstStyle/>
        <a:p>
          <a:pPr>
            <a:defRPr sz="1400" b="1" i="0" u="none" strike="noStrike" kern="1200" cap="none" baseline="0">
              <a:solidFill>
                <a:srgbClr val="002060"/>
              </a:solidFill>
              <a:latin typeface="Aptos" panose="020B0004020202020204" pitchFamily="34" charset="0"/>
              <a:ea typeface="+mn-ea"/>
              <a:cs typeface="+mn-cs"/>
            </a:defRPr>
          </a:pPr>
          <a:endParaRPr lang="en-US"/>
        </a:p>
      </c:txPr>
    </c:title>
    <c:autoTitleDeleted val="0"/>
    <c:pivotFmts>
      <c:pivotFmt>
        <c:idx val="0"/>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PivotTables!$K$40</c:f>
              <c:strCache>
                <c:ptCount val="1"/>
                <c:pt idx="0">
                  <c:v>Total</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PivotTables!$J$41:$J$71</c:f>
              <c:strCache>
                <c:ptCount val="30"/>
                <c:pt idx="0">
                  <c:v>1-Jan</c:v>
                </c:pt>
                <c:pt idx="1">
                  <c:v>2-Jan</c:v>
                </c:pt>
                <c:pt idx="2">
                  <c:v>3-Jan</c:v>
                </c:pt>
                <c:pt idx="3">
                  <c:v>4-Jan</c:v>
                </c:pt>
                <c:pt idx="4">
                  <c:v>5-Jan</c:v>
                </c:pt>
                <c:pt idx="5">
                  <c:v>6-Jan</c:v>
                </c:pt>
                <c:pt idx="6">
                  <c:v>7-Jan</c:v>
                </c:pt>
                <c:pt idx="7">
                  <c:v>8-Jan</c:v>
                </c:pt>
                <c:pt idx="8">
                  <c:v>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strCache>
            </c:strRef>
          </c:cat>
          <c:val>
            <c:numRef>
              <c:f>PivotTables!$K$41:$K$71</c:f>
              <c:numCache>
                <c:formatCode>General</c:formatCode>
                <c:ptCount val="30"/>
                <c:pt idx="0">
                  <c:v>120000</c:v>
                </c:pt>
                <c:pt idx="1">
                  <c:v>100000</c:v>
                </c:pt>
                <c:pt idx="2">
                  <c:v>50000</c:v>
                </c:pt>
                <c:pt idx="3">
                  <c:v>45000</c:v>
                </c:pt>
                <c:pt idx="4">
                  <c:v>80000</c:v>
                </c:pt>
                <c:pt idx="5">
                  <c:v>25000</c:v>
                </c:pt>
                <c:pt idx="6">
                  <c:v>15000</c:v>
                </c:pt>
                <c:pt idx="7">
                  <c:v>60000</c:v>
                </c:pt>
                <c:pt idx="8">
                  <c:v>80000</c:v>
                </c:pt>
                <c:pt idx="9">
                  <c:v>60000</c:v>
                </c:pt>
                <c:pt idx="10">
                  <c:v>30000</c:v>
                </c:pt>
                <c:pt idx="11">
                  <c:v>60000</c:v>
                </c:pt>
                <c:pt idx="12">
                  <c:v>20000</c:v>
                </c:pt>
                <c:pt idx="13">
                  <c:v>20000</c:v>
                </c:pt>
                <c:pt idx="14">
                  <c:v>120000</c:v>
                </c:pt>
                <c:pt idx="15">
                  <c:v>60000</c:v>
                </c:pt>
                <c:pt idx="16">
                  <c:v>36000</c:v>
                </c:pt>
                <c:pt idx="17">
                  <c:v>60000</c:v>
                </c:pt>
                <c:pt idx="18">
                  <c:v>40000</c:v>
                </c:pt>
                <c:pt idx="19">
                  <c:v>0</c:v>
                </c:pt>
                <c:pt idx="20">
                  <c:v>12000</c:v>
                </c:pt>
                <c:pt idx="21">
                  <c:v>60000</c:v>
                </c:pt>
                <c:pt idx="22">
                  <c:v>120000</c:v>
                </c:pt>
                <c:pt idx="23">
                  <c:v>24000</c:v>
                </c:pt>
                <c:pt idx="24">
                  <c:v>45000</c:v>
                </c:pt>
                <c:pt idx="25">
                  <c:v>40000</c:v>
                </c:pt>
                <c:pt idx="26">
                  <c:v>25000</c:v>
                </c:pt>
                <c:pt idx="27">
                  <c:v>15000</c:v>
                </c:pt>
                <c:pt idx="28">
                  <c:v>60000</c:v>
                </c:pt>
                <c:pt idx="29">
                  <c:v>80000</c:v>
                </c:pt>
              </c:numCache>
            </c:numRef>
          </c:val>
          <c:smooth val="0"/>
          <c:extLst>
            <c:ext xmlns:c16="http://schemas.microsoft.com/office/drawing/2014/chart" uri="{C3380CC4-5D6E-409C-BE32-E72D297353CC}">
              <c16:uniqueId val="{00000000-AA11-49BD-B780-5F0242BF81EC}"/>
            </c:ext>
          </c:extLst>
        </c:ser>
        <c:dLbls>
          <c:dLblPos val="ctr"/>
          <c:showLegendKey val="0"/>
          <c:showVal val="1"/>
          <c:showCatName val="0"/>
          <c:showSerName val="0"/>
          <c:showPercent val="0"/>
          <c:showBubbleSize val="0"/>
        </c:dLbls>
        <c:marker val="1"/>
        <c:smooth val="0"/>
        <c:axId val="622145472"/>
        <c:axId val="2051508112"/>
      </c:lineChart>
      <c:catAx>
        <c:axId val="622145472"/>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409]d/mmm;@"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2051508112"/>
        <c:crosses val="autoZero"/>
        <c:auto val="1"/>
        <c:lblAlgn val="ctr"/>
        <c:lblOffset val="100"/>
        <c:noMultiLvlLbl val="0"/>
      </c:catAx>
      <c:valAx>
        <c:axId val="2051508112"/>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6221454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[Business_Performance_MIS_Dashboard.xlsm]PivotTables!ptOrderStatus</c:name>
    <c:fmtId val="5"/>
  </c:pivotSource>
  <c:chart>
    <c:title>
      <c:tx>
        <c:rich>
          <a:bodyPr rot="0" spcFirstLastPara="1" vertOverflow="ellipsis" vert="horz" wrap="square" anchor="ctr" anchorCtr="1"/>
          <a:lstStyle/>
          <a:p>
            <a:pPr>
              <a:defRPr sz="1600" b="1" i="0" u="none" strike="noStrike" kern="1200" spc="100" baseline="0">
                <a:solidFill>
                  <a:srgbClr val="002060"/>
                </a:solidFill>
                <a:effectLst>
                  <a:outerShdw blurRad="50800" dist="38100" dir="5400000" algn="t" rotWithShape="0">
                    <a:prstClr val="black">
                      <a:alpha val="40000"/>
                    </a:prstClr>
                  </a:outerShdw>
                </a:effectLst>
                <a:latin typeface="Aptos" panose="020B0004020202020204" pitchFamily="34" charset="0"/>
                <a:ea typeface="+mn-ea"/>
                <a:cs typeface="+mn-cs"/>
              </a:defRPr>
            </a:pPr>
            <a:r>
              <a:rPr lang="en-US">
                <a:solidFill>
                  <a:srgbClr val="002060"/>
                </a:solidFill>
                <a:latin typeface="Aptos" panose="020B0004020202020204" pitchFamily="34" charset="0"/>
              </a:rPr>
              <a:t>Order Status Distribution</a:t>
            </a:r>
          </a:p>
        </c:rich>
      </c:tx>
      <c:overlay val="0"/>
      <c:spPr>
        <a:noFill/>
        <a:ln>
          <a:noFill/>
        </a:ln>
        <a:effectLst/>
      </c:spPr>
      <c:txPr>
        <a:bodyPr rot="0" spcFirstLastPara="1" vertOverflow="ellipsis" vert="horz" wrap="square" anchor="ctr" anchorCtr="1"/>
        <a:lstStyle/>
        <a:p>
          <a:pPr>
            <a:defRPr sz="1600" b="1" i="0" u="none" strike="noStrike" kern="1200" spc="100" baseline="0">
              <a:solidFill>
                <a:srgbClr val="002060"/>
              </a:solidFill>
              <a:effectLst>
                <a:outerShdw blurRad="50800" dist="38100" dir="5400000" algn="t" rotWithShape="0">
                  <a:prstClr val="black">
                    <a:alpha val="40000"/>
                  </a:prstClr>
                </a:outerShdw>
              </a:effectLst>
              <a:latin typeface="Aptos" panose="020B0004020202020204" pitchFamily="34" charset="0"/>
              <a:ea typeface="+mn-ea"/>
              <a:cs typeface="+mn-cs"/>
            </a:defRPr>
          </a:pPr>
          <a:endParaRPr lang="en-US"/>
        </a:p>
      </c:txPr>
    </c:title>
    <c:autoTitleDeleted val="0"/>
    <c:pivotFmts>
      <c:pivotFmt>
        <c:idx val="0"/>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
      </c:pivotFmt>
      <c:pivotFmt>
        <c:idx val="2"/>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3"/>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dLblPos val="ctr"/>
          <c:showLegendKey val="0"/>
          <c:showVal val="1"/>
          <c:showCatName val="1"/>
          <c:showSerName val="0"/>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manualLayout>
          <c:layoutTarget val="inner"/>
          <c:xMode val="edge"/>
          <c:yMode val="edge"/>
          <c:x val="0.14668597675290587"/>
          <c:y val="0.20153284044620204"/>
          <c:w val="0.52091394825646797"/>
          <c:h val="0.75044604538832549"/>
        </c:manualLayout>
      </c:layout>
      <c:pieChart>
        <c:varyColors val="1"/>
        <c:ser>
          <c:idx val="0"/>
          <c:order val="0"/>
          <c:tx>
            <c:strRef>
              <c:f>PivotTables!$B$40</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1F5B-4C2D-B268-F287E5EF82E3}"/>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BA5A-404C-9CBE-5E1CA5E4BB3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dLblPos val="ctr"/>
            <c:showLegendKey val="0"/>
            <c:showVal val="1"/>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PivotTables!$A$41:$A$43</c:f>
              <c:strCache>
                <c:ptCount val="2"/>
                <c:pt idx="0">
                  <c:v>Cancelled</c:v>
                </c:pt>
                <c:pt idx="1">
                  <c:v>Completed</c:v>
                </c:pt>
              </c:strCache>
            </c:strRef>
          </c:cat>
          <c:val>
            <c:numRef>
              <c:f>PivotTables!$B$41:$B$43</c:f>
              <c:numCache>
                <c:formatCode>General</c:formatCode>
                <c:ptCount val="2"/>
                <c:pt idx="0">
                  <c:v>1</c:v>
                </c:pt>
                <c:pt idx="1">
                  <c:v>29</c:v>
                </c:pt>
              </c:numCache>
            </c:numRef>
          </c:val>
          <c:extLst>
            <c:ext xmlns:c16="http://schemas.microsoft.com/office/drawing/2014/chart" uri="{C3380CC4-5D6E-409C-BE32-E72D297353CC}">
              <c16:uniqueId val="{00000002-1F5B-4C2D-B268-F287E5EF82E3}"/>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baseline="0">
                <a:solidFill>
                  <a:srgbClr val="002060"/>
                </a:solidFill>
                <a:latin typeface="Aptos" panose="020B0004020202020204" pitchFamily="34" charset="0"/>
                <a:ea typeface="+mn-ea"/>
                <a:cs typeface="+mn-cs"/>
              </a:defRPr>
            </a:pPr>
            <a:r>
              <a:rPr lang="en-US" b="1">
                <a:solidFill>
                  <a:srgbClr val="002060"/>
                </a:solidFill>
                <a:latin typeface="Aptos" panose="020B0004020202020204" pitchFamily="34" charset="0"/>
              </a:rPr>
              <a:t>Actual Sales VS Target </a:t>
            </a:r>
          </a:p>
        </c:rich>
      </c:tx>
      <c:overlay val="0"/>
      <c:spPr>
        <a:noFill/>
        <a:ln>
          <a:noFill/>
        </a:ln>
        <a:effectLst/>
      </c:spPr>
      <c:txPr>
        <a:bodyPr rot="0" spcFirstLastPara="1" vertOverflow="ellipsis" vert="horz" wrap="square" anchor="ctr" anchorCtr="1"/>
        <a:lstStyle/>
        <a:p>
          <a:pPr>
            <a:defRPr sz="1800" b="1" i="0" u="none" strike="noStrike" kern="1200" cap="all" baseline="0">
              <a:solidFill>
                <a:srgbClr val="002060"/>
              </a:solidFill>
              <a:latin typeface="Aptos" panose="020B0004020202020204" pitchFamily="34" charset="0"/>
              <a:ea typeface="+mn-ea"/>
              <a:cs typeface="+mn-cs"/>
            </a:defRPr>
          </a:pPr>
          <a:endParaRPr lang="en-US"/>
        </a:p>
      </c:txPr>
    </c:title>
    <c:autoTitleDeleted val="0"/>
    <c:plotArea>
      <c:layout/>
      <c:barChart>
        <c:barDir val="col"/>
        <c:grouping val="clustered"/>
        <c:varyColors val="0"/>
        <c:ser>
          <c:idx val="0"/>
          <c:order val="0"/>
          <c:tx>
            <c:v>Sales</c:v>
          </c:tx>
          <c:spPr>
            <a:solidFill>
              <a:schemeClr val="accent1">
                <a:alpha val="88000"/>
              </a:schemeClr>
            </a:solidFill>
            <a:ln>
              <a:solidFill>
                <a:schemeClr val="accent1">
                  <a:lumMod val="50000"/>
                </a:schemeClr>
              </a:solidFill>
            </a:ln>
            <a:effectLst/>
          </c:spPr>
          <c:invertIfNegative val="0"/>
          <c:dLbls>
            <c:spPr>
              <a:solidFill>
                <a:srgbClr val="4472C4">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solidFill>
                    <a:schemeClr val="accent1">
                      <a:alpha val="30000"/>
                    </a:schemeClr>
                  </a:solidFill>
                  <a:ln>
                    <a:solidFill>
                      <a:schemeClr val="lt1">
                        <a:alpha val="50000"/>
                      </a:schemeClr>
                    </a:solidFill>
                    <a:round/>
                  </a:ln>
                </c15:spPr>
                <c15:showLeaderLines val="0"/>
              </c:ext>
            </c:extLst>
          </c:dLbls>
          <c:cat>
            <c:strRef>
              <c:f>Analysis!$G$14:$G$17</c:f>
              <c:strCache>
                <c:ptCount val="4"/>
                <c:pt idx="0">
                  <c:v>East</c:v>
                </c:pt>
                <c:pt idx="1">
                  <c:v>North</c:v>
                </c:pt>
                <c:pt idx="2">
                  <c:v>South</c:v>
                </c:pt>
                <c:pt idx="3">
                  <c:v>West</c:v>
                </c:pt>
              </c:strCache>
            </c:strRef>
          </c:cat>
          <c:val>
            <c:numRef>
              <c:f>Analysis!$H$14:$H$17</c:f>
              <c:numCache>
                <c:formatCode>General</c:formatCode>
                <c:ptCount val="4"/>
                <c:pt idx="0">
                  <c:v>400000</c:v>
                </c:pt>
                <c:pt idx="1">
                  <c:v>453000</c:v>
                </c:pt>
                <c:pt idx="2">
                  <c:v>445000</c:v>
                </c:pt>
                <c:pt idx="3">
                  <c:v>264000</c:v>
                </c:pt>
              </c:numCache>
            </c:numRef>
          </c:val>
          <c:extLst>
            <c:ext xmlns:c16="http://schemas.microsoft.com/office/drawing/2014/chart" uri="{C3380CC4-5D6E-409C-BE32-E72D297353CC}">
              <c16:uniqueId val="{00000000-D3F9-4741-8F1E-90850CCAE615}"/>
            </c:ext>
          </c:extLst>
        </c:ser>
        <c:ser>
          <c:idx val="1"/>
          <c:order val="1"/>
          <c:tx>
            <c:v>Target</c:v>
          </c:tx>
          <c:spPr>
            <a:solidFill>
              <a:schemeClr val="accent2">
                <a:alpha val="88000"/>
              </a:schemeClr>
            </a:solidFill>
            <a:ln>
              <a:solidFill>
                <a:schemeClr val="accent2">
                  <a:lumMod val="50000"/>
                </a:schemeClr>
              </a:solidFill>
            </a:ln>
            <a:effectLst/>
          </c:spPr>
          <c:invertIfNegative val="0"/>
          <c:dLbls>
            <c:dLbl>
              <c:idx val="3"/>
              <c:layout>
                <c:manualLayout>
                  <c:x val="4.5570962121423121E-2"/>
                  <c:y val="9.2592592592592587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3F9-4741-8F1E-90850CCAE615}"/>
                </c:ext>
              </c:extLst>
            </c:dLbl>
            <c:spPr>
              <a:solidFill>
                <a:schemeClr val="accent2">
                  <a:alpha val="30000"/>
                </a:schemeClr>
              </a:solidFill>
              <a:ln>
                <a:solidFill>
                  <a:schemeClr val="lt1">
                    <a:alpha val="50000"/>
                  </a:scheme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Analysis!$G$14:$G$17</c:f>
              <c:strCache>
                <c:ptCount val="4"/>
                <c:pt idx="0">
                  <c:v>East</c:v>
                </c:pt>
                <c:pt idx="1">
                  <c:v>North</c:v>
                </c:pt>
                <c:pt idx="2">
                  <c:v>South</c:v>
                </c:pt>
                <c:pt idx="3">
                  <c:v>West</c:v>
                </c:pt>
              </c:strCache>
            </c:strRef>
          </c:cat>
          <c:val>
            <c:numRef>
              <c:f>Analysis!$K$14:$K$17</c:f>
              <c:numCache>
                <c:formatCode>General</c:formatCode>
                <c:ptCount val="4"/>
                <c:pt idx="0">
                  <c:v>250000</c:v>
                </c:pt>
                <c:pt idx="1">
                  <c:v>350000</c:v>
                </c:pt>
                <c:pt idx="2">
                  <c:v>300000</c:v>
                </c:pt>
                <c:pt idx="3">
                  <c:v>280000</c:v>
                </c:pt>
              </c:numCache>
            </c:numRef>
          </c:val>
          <c:extLst>
            <c:ext xmlns:c16="http://schemas.microsoft.com/office/drawing/2014/chart" uri="{C3380CC4-5D6E-409C-BE32-E72D297353CC}">
              <c16:uniqueId val="{00000002-D3F9-4741-8F1E-90850CCAE615}"/>
            </c:ext>
          </c:extLst>
        </c:ser>
        <c:dLbls>
          <c:showLegendKey val="0"/>
          <c:showVal val="1"/>
          <c:showCatName val="0"/>
          <c:showSerName val="0"/>
          <c:showPercent val="0"/>
          <c:showBubbleSize val="0"/>
        </c:dLbls>
        <c:gapWidth val="84"/>
        <c:axId val="2048138960"/>
        <c:axId val="1757022288"/>
      </c:barChart>
      <c:catAx>
        <c:axId val="204813896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757022288"/>
        <c:crosses val="autoZero"/>
        <c:auto val="1"/>
        <c:lblAlgn val="ctr"/>
        <c:lblOffset val="100"/>
        <c:noMultiLvlLbl val="0"/>
      </c:catAx>
      <c:valAx>
        <c:axId val="1757022288"/>
        <c:scaling>
          <c:orientation val="minMax"/>
        </c:scaling>
        <c:delete val="1"/>
        <c:axPos val="l"/>
        <c:numFmt formatCode="\₹#,##0" sourceLinked="0"/>
        <c:majorTickMark val="out"/>
        <c:minorTickMark val="none"/>
        <c:tickLblPos val="nextTo"/>
        <c:crossAx val="204813896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6350"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14</xdr:row>
      <xdr:rowOff>0</xdr:rowOff>
    </xdr:from>
    <xdr:to>
      <xdr:col>5</xdr:col>
      <xdr:colOff>0</xdr:colOff>
      <xdr:row>27</xdr:row>
      <xdr:rowOff>89534</xdr:rowOff>
    </xdr:to>
    <mc:AlternateContent xmlns:mc="http://schemas.openxmlformats.org/markup-compatibility/2006" xmlns:a14="http://schemas.microsoft.com/office/drawing/2010/main">
      <mc:Choice Requires="a14">
        <xdr:graphicFrame macro="">
          <xdr:nvGraphicFramePr>
            <xdr:cNvPr id="2" name="Region">
              <a:extLst>
                <a:ext uri="{FF2B5EF4-FFF2-40B4-BE49-F238E27FC236}">
                  <a16:creationId xmlns:a16="http://schemas.microsoft.com/office/drawing/2014/main" id="{5235EF85-6775-44CA-BC5F-82829954AA52}"/>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612588" y="3189941"/>
              <a:ext cx="2450353" cy="242035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14</xdr:row>
      <xdr:rowOff>0</xdr:rowOff>
    </xdr:from>
    <xdr:to>
      <xdr:col>9</xdr:col>
      <xdr:colOff>0</xdr:colOff>
      <xdr:row>27</xdr:row>
      <xdr:rowOff>89534</xdr:rowOff>
    </xdr:to>
    <mc:AlternateContent xmlns:mc="http://schemas.openxmlformats.org/markup-compatibility/2006" xmlns:a14="http://schemas.microsoft.com/office/drawing/2010/main">
      <mc:Choice Requires="a14">
        <xdr:graphicFrame macro="">
          <xdr:nvGraphicFramePr>
            <xdr:cNvPr id="3" name="Salesperson">
              <a:extLst>
                <a:ext uri="{FF2B5EF4-FFF2-40B4-BE49-F238E27FC236}">
                  <a16:creationId xmlns:a16="http://schemas.microsoft.com/office/drawing/2014/main" id="{D91966A2-1046-4565-AF72-9AEB6D6A50A4}"/>
                </a:ext>
              </a:extLst>
            </xdr:cNvPr>
            <xdr:cNvGraphicFramePr/>
          </xdr:nvGraphicFramePr>
          <xdr:xfrm>
            <a:off x="0" y="0"/>
            <a:ext cx="0" cy="0"/>
          </xdr:xfrm>
          <a:graphic>
            <a:graphicData uri="http://schemas.microsoft.com/office/drawing/2010/slicer">
              <sle:slicer xmlns:sle="http://schemas.microsoft.com/office/drawing/2010/slicer" name="Salesperson"/>
            </a:graphicData>
          </a:graphic>
        </xdr:graphicFrame>
      </mc:Choice>
      <mc:Fallback xmlns="">
        <xdr:sp macro="" textlink="">
          <xdr:nvSpPr>
            <xdr:cNvPr id="0" name=""/>
            <xdr:cNvSpPr>
              <a:spLocks noTextEdit="1"/>
            </xdr:cNvSpPr>
          </xdr:nvSpPr>
          <xdr:spPr>
            <a:xfrm>
              <a:off x="3062941" y="3189941"/>
              <a:ext cx="2667000" cy="242035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0</xdr:colOff>
      <xdr:row>14</xdr:row>
      <xdr:rowOff>0</xdr:rowOff>
    </xdr:from>
    <xdr:to>
      <xdr:col>12</xdr:col>
      <xdr:colOff>0</xdr:colOff>
      <xdr:row>27</xdr:row>
      <xdr:rowOff>89534</xdr:rowOff>
    </xdr:to>
    <mc:AlternateContent xmlns:mc="http://schemas.openxmlformats.org/markup-compatibility/2006" xmlns:a14="http://schemas.microsoft.com/office/drawing/2010/main">
      <mc:Choice Requires="a14">
        <xdr:graphicFrame macro="">
          <xdr:nvGraphicFramePr>
            <xdr:cNvPr id="4" name="Product">
              <a:extLst>
                <a:ext uri="{FF2B5EF4-FFF2-40B4-BE49-F238E27FC236}">
                  <a16:creationId xmlns:a16="http://schemas.microsoft.com/office/drawing/2014/main" id="{152F5FA2-B5D7-4D15-BDF2-A5441BE93146}"/>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5729941" y="3189941"/>
              <a:ext cx="1837765" cy="242035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0</xdr:colOff>
      <xdr:row>14</xdr:row>
      <xdr:rowOff>0</xdr:rowOff>
    </xdr:from>
    <xdr:to>
      <xdr:col>14</xdr:col>
      <xdr:colOff>30480</xdr:colOff>
      <xdr:row>27</xdr:row>
      <xdr:rowOff>89534</xdr:rowOff>
    </xdr:to>
    <mc:AlternateContent xmlns:mc="http://schemas.openxmlformats.org/markup-compatibility/2006" xmlns:a14="http://schemas.microsoft.com/office/drawing/2010/main">
      <mc:Choice Requires="a14">
        <xdr:graphicFrame macro="">
          <xdr:nvGraphicFramePr>
            <xdr:cNvPr id="5" name="Category">
              <a:extLst>
                <a:ext uri="{FF2B5EF4-FFF2-40B4-BE49-F238E27FC236}">
                  <a16:creationId xmlns:a16="http://schemas.microsoft.com/office/drawing/2014/main" id="{A0687B8E-0165-4A3F-8607-8308D0379FD3}"/>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7567706" y="3189941"/>
              <a:ext cx="1255656" cy="242035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0</xdr:colOff>
      <xdr:row>14</xdr:row>
      <xdr:rowOff>0</xdr:rowOff>
    </xdr:from>
    <xdr:to>
      <xdr:col>18</xdr:col>
      <xdr:colOff>7620</xdr:colOff>
      <xdr:row>27</xdr:row>
      <xdr:rowOff>89534</xdr:rowOff>
    </xdr:to>
    <mc:AlternateContent xmlns:mc="http://schemas.openxmlformats.org/markup-compatibility/2006" xmlns:a14="http://schemas.microsoft.com/office/drawing/2010/main">
      <mc:Choice Requires="a14">
        <xdr:graphicFrame macro="">
          <xdr:nvGraphicFramePr>
            <xdr:cNvPr id="6" name="Order_Status">
              <a:extLst>
                <a:ext uri="{FF2B5EF4-FFF2-40B4-BE49-F238E27FC236}">
                  <a16:creationId xmlns:a16="http://schemas.microsoft.com/office/drawing/2014/main" id="{78BEDC71-1484-4B78-8E20-D2DE17D3B5E7}"/>
                </a:ext>
              </a:extLst>
            </xdr:cNvPr>
            <xdr:cNvGraphicFramePr/>
          </xdr:nvGraphicFramePr>
          <xdr:xfrm>
            <a:off x="0" y="0"/>
            <a:ext cx="0" cy="0"/>
          </xdr:xfrm>
          <a:graphic>
            <a:graphicData uri="http://schemas.microsoft.com/office/drawing/2010/slicer">
              <sle:slicer xmlns:sle="http://schemas.microsoft.com/office/drawing/2010/slicer" name="Order_Status"/>
            </a:graphicData>
          </a:graphic>
        </xdr:graphicFrame>
      </mc:Choice>
      <mc:Fallback xmlns="">
        <xdr:sp macro="" textlink="">
          <xdr:nvSpPr>
            <xdr:cNvPr id="0" name=""/>
            <xdr:cNvSpPr>
              <a:spLocks noTextEdit="1"/>
            </xdr:cNvSpPr>
          </xdr:nvSpPr>
          <xdr:spPr>
            <a:xfrm>
              <a:off x="8792882" y="3189941"/>
              <a:ext cx="2457973" cy="242035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601980</xdr:colOff>
      <xdr:row>27</xdr:row>
      <xdr:rowOff>91440</xdr:rowOff>
    </xdr:from>
    <xdr:to>
      <xdr:col>18</xdr:col>
      <xdr:colOff>0</xdr:colOff>
      <xdr:row>35</xdr:row>
      <xdr:rowOff>0</xdr:rowOff>
    </xdr:to>
    <mc:AlternateContent xmlns:mc="http://schemas.openxmlformats.org/markup-compatibility/2006" xmlns:tsle="http://schemas.microsoft.com/office/drawing/2012/timeslicer">
      <mc:Choice Requires="tsle">
        <xdr:graphicFrame macro="">
          <xdr:nvGraphicFramePr>
            <xdr:cNvPr id="7" name="Order_Date">
              <a:extLst>
                <a:ext uri="{FF2B5EF4-FFF2-40B4-BE49-F238E27FC236}">
                  <a16:creationId xmlns:a16="http://schemas.microsoft.com/office/drawing/2014/main" id="{186F9FF7-FA33-4B2D-862C-7773168EE104}"/>
                </a:ext>
              </a:extLst>
            </xdr:cNvPr>
            <xdr:cNvGraphicFramePr/>
          </xdr:nvGraphicFramePr>
          <xdr:xfrm>
            <a:off x="0" y="0"/>
            <a:ext cx="0" cy="0"/>
          </xdr:xfrm>
          <a:graphic>
            <a:graphicData uri="http://schemas.microsoft.com/office/drawing/2012/timeslicer">
              <tsle:timeslicer name="Order_Date"/>
            </a:graphicData>
          </a:graphic>
        </xdr:graphicFrame>
      </mc:Choice>
      <mc:Fallback xmlns="">
        <xdr:sp macro="" textlink="">
          <xdr:nvSpPr>
            <xdr:cNvPr id="0" name=""/>
            <xdr:cNvSpPr>
              <a:spLocks noTextEdit="1"/>
            </xdr:cNvSpPr>
          </xdr:nvSpPr>
          <xdr:spPr>
            <a:xfrm>
              <a:off x="601980" y="5612205"/>
              <a:ext cx="10641255" cy="1342913"/>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xdr:from>
      <xdr:col>1</xdr:col>
      <xdr:colOff>4481</xdr:colOff>
      <xdr:row>35</xdr:row>
      <xdr:rowOff>6320</xdr:rowOff>
    </xdr:from>
    <xdr:to>
      <xdr:col>9</xdr:col>
      <xdr:colOff>385481</xdr:colOff>
      <xdr:row>55</xdr:row>
      <xdr:rowOff>78038</xdr:rowOff>
    </xdr:to>
    <xdr:graphicFrame macro="">
      <xdr:nvGraphicFramePr>
        <xdr:cNvPr id="8" name="ptRegion">
          <a:extLst>
            <a:ext uri="{FF2B5EF4-FFF2-40B4-BE49-F238E27FC236}">
              <a16:creationId xmlns:a16="http://schemas.microsoft.com/office/drawing/2014/main" id="{DF0A6B3D-8343-4F63-821F-C30152A2BA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601670</xdr:colOff>
      <xdr:row>55</xdr:row>
      <xdr:rowOff>54792</xdr:rowOff>
    </xdr:from>
    <xdr:to>
      <xdr:col>9</xdr:col>
      <xdr:colOff>377552</xdr:colOff>
      <xdr:row>75</xdr:row>
      <xdr:rowOff>126510</xdr:rowOff>
    </xdr:to>
    <xdr:graphicFrame macro="">
      <xdr:nvGraphicFramePr>
        <xdr:cNvPr id="9" name="Product Sales Performance">
          <a:extLst>
            <a:ext uri="{FF2B5EF4-FFF2-40B4-BE49-F238E27FC236}">
              <a16:creationId xmlns:a16="http://schemas.microsoft.com/office/drawing/2014/main" id="{677931AD-B78F-4FE6-9CE3-09E9CF53076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405846</xdr:colOff>
      <xdr:row>55</xdr:row>
      <xdr:rowOff>54792</xdr:rowOff>
    </xdr:from>
    <xdr:to>
      <xdr:col>18</xdr:col>
      <xdr:colOff>44824</xdr:colOff>
      <xdr:row>75</xdr:row>
      <xdr:rowOff>126510</xdr:rowOff>
    </xdr:to>
    <xdr:graphicFrame macro="">
      <xdr:nvGraphicFramePr>
        <xdr:cNvPr id="10" name="SalesPerson Performance">
          <a:extLst>
            <a:ext uri="{FF2B5EF4-FFF2-40B4-BE49-F238E27FC236}">
              <a16:creationId xmlns:a16="http://schemas.microsoft.com/office/drawing/2014/main" id="{5576B15E-5206-431F-BB20-8F39ABBF2D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582706</xdr:colOff>
      <xdr:row>76</xdr:row>
      <xdr:rowOff>0</xdr:rowOff>
    </xdr:from>
    <xdr:to>
      <xdr:col>9</xdr:col>
      <xdr:colOff>398930</xdr:colOff>
      <xdr:row>96</xdr:row>
      <xdr:rowOff>71718</xdr:rowOff>
    </xdr:to>
    <xdr:graphicFrame macro="">
      <xdr:nvGraphicFramePr>
        <xdr:cNvPr id="11" name="ptDailySales">
          <a:extLst>
            <a:ext uri="{FF2B5EF4-FFF2-40B4-BE49-F238E27FC236}">
              <a16:creationId xmlns:a16="http://schemas.microsoft.com/office/drawing/2014/main" id="{5FED8C8C-2058-4D96-8377-9F2A408A76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420077</xdr:colOff>
      <xdr:row>75</xdr:row>
      <xdr:rowOff>173548</xdr:rowOff>
    </xdr:from>
    <xdr:to>
      <xdr:col>18</xdr:col>
      <xdr:colOff>67236</xdr:colOff>
      <xdr:row>96</xdr:row>
      <xdr:rowOff>65972</xdr:rowOff>
    </xdr:to>
    <xdr:graphicFrame macro="">
      <xdr:nvGraphicFramePr>
        <xdr:cNvPr id="12" name="ptOrderStatus">
          <a:extLst>
            <a:ext uri="{FF2B5EF4-FFF2-40B4-BE49-F238E27FC236}">
              <a16:creationId xmlns:a16="http://schemas.microsoft.com/office/drawing/2014/main" id="{9B052E64-6C49-4BFA-87F9-EF557FDE98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394448</xdr:colOff>
      <xdr:row>35</xdr:row>
      <xdr:rowOff>6320</xdr:rowOff>
    </xdr:from>
    <xdr:to>
      <xdr:col>18</xdr:col>
      <xdr:colOff>33619</xdr:colOff>
      <xdr:row>55</xdr:row>
      <xdr:rowOff>78038</xdr:rowOff>
    </xdr:to>
    <xdr:graphicFrame macro="">
      <xdr:nvGraphicFramePr>
        <xdr:cNvPr id="13" name="Chart 12">
          <a:extLst>
            <a:ext uri="{FF2B5EF4-FFF2-40B4-BE49-F238E27FC236}">
              <a16:creationId xmlns:a16="http://schemas.microsoft.com/office/drawing/2014/main" id="{414C4B07-0B08-451A-9E82-E978F12E91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16</xdr:col>
          <xdr:colOff>82973</xdr:colOff>
          <xdr:row>2</xdr:row>
          <xdr:rowOff>87395</xdr:rowOff>
        </xdr:from>
        <xdr:to>
          <xdr:col>17</xdr:col>
          <xdr:colOff>14392</xdr:colOff>
          <xdr:row>3</xdr:row>
          <xdr:rowOff>18815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Refresh Report</a:t>
              </a:r>
            </a:p>
          </xdr:txBody>
        </xdr:sp>
        <xdr:clientData fPrintsWithSheet="0"/>
      </xdr:twoCellAnchor>
    </mc:Choice>
    <mc:Fallback/>
  </mc:AlternateContent>
  <xdr:oneCellAnchor>
    <xdr:from>
      <xdr:col>15</xdr:col>
      <xdr:colOff>319852</xdr:colOff>
      <xdr:row>1</xdr:row>
      <xdr:rowOff>310444</xdr:rowOff>
    </xdr:from>
    <xdr:ext cx="1373453" cy="282222"/>
    <xdr:sp macro="" textlink="">
      <xdr:nvSpPr>
        <xdr:cNvPr id="15" name="TextBox 14">
          <a:extLst>
            <a:ext uri="{FF2B5EF4-FFF2-40B4-BE49-F238E27FC236}">
              <a16:creationId xmlns:a16="http://schemas.microsoft.com/office/drawing/2014/main" id="{3719BC96-B156-31E9-B363-B925102F025C}"/>
            </a:ext>
          </a:extLst>
        </xdr:cNvPr>
        <xdr:cNvSpPr txBox="1"/>
      </xdr:nvSpPr>
      <xdr:spPr>
        <a:xfrm>
          <a:off x="9708445" y="489185"/>
          <a:ext cx="1373453" cy="2822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en-US" sz="1100" b="1">
              <a:solidFill>
                <a:schemeClr val="bg1"/>
              </a:solidFill>
              <a:latin typeface="+mn-lt"/>
              <a:ea typeface="+mn-ea"/>
              <a:cs typeface="+mn-cs"/>
            </a:rPr>
            <a:t>↻ REFRESH REPORT </a:t>
          </a:r>
        </a:p>
        <a:p>
          <a:endParaRPr lang="en-US" sz="1100" b="1">
            <a:solidFill>
              <a:schemeClr val="bg1"/>
            </a:solidFill>
          </a:endParaRPr>
        </a:p>
      </xdr:txBody>
    </xdr:sp>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6297.66487847222" createdVersion="8" refreshedVersion="8" minRefreshableVersion="3" recordCount="30" xr:uid="{402E4EC8-6939-4B4B-B34A-FD26A9FC5F69}">
  <cacheSource type="worksheet">
    <worksheetSource name="tblCleanSales"/>
  </cacheSource>
  <cacheFields count="16">
    <cacheField name="Order_Id" numFmtId="0">
      <sharedItems/>
    </cacheField>
    <cacheField name="Order_Date" numFmtId="14">
      <sharedItems containsSemiMixedTypes="0" containsNonDate="0" containsDate="1" containsString="0" minDate="2026-01-01T00:00:00" maxDate="2026-01-31T00:00:00" count="30">
        <d v="2026-01-01T00:00:00"/>
        <d v="2026-01-02T00:00:00"/>
        <d v="2026-01-03T00:00:00"/>
        <d v="2026-01-04T00:00:00"/>
        <d v="2026-01-05T00:00:00"/>
        <d v="2026-01-06T00:00:00"/>
        <d v="2026-01-07T00:00:00"/>
        <d v="2026-01-08T00:00:00"/>
        <d v="2026-01-09T00:00:00"/>
        <d v="2026-01-10T00:00:00"/>
        <d v="2026-01-11T00:00:00"/>
        <d v="2026-01-12T00:00:00"/>
        <d v="2026-01-13T00:00:00"/>
        <d v="2026-01-14T00:00:00"/>
        <d v="2026-01-15T00:00:00"/>
        <d v="2026-01-16T00:00:00"/>
        <d v="2026-01-17T00:00:00"/>
        <d v="2026-01-18T00:00:00"/>
        <d v="2026-01-19T00:00:00"/>
        <d v="2026-01-20T00:00:00"/>
        <d v="2026-01-21T00:00:00"/>
        <d v="2026-01-22T00:00:00"/>
        <d v="2026-01-23T00:00:00"/>
        <d v="2026-01-24T00:00:00"/>
        <d v="2026-01-25T00:00:00"/>
        <d v="2026-01-26T00:00:00"/>
        <d v="2026-01-27T00:00:00"/>
        <d v="2026-01-28T00:00:00"/>
        <d v="2026-01-29T00:00:00"/>
        <d v="2026-01-30T00:00:00"/>
      </sharedItems>
    </cacheField>
    <cacheField name="Region" numFmtId="0">
      <sharedItems count="4">
        <s v="North"/>
        <s v="South"/>
        <s v="East"/>
        <s v="West"/>
      </sharedItems>
    </cacheField>
    <cacheField name="Salesperson" numFmtId="0">
      <sharedItems count="4">
        <s v="Amit"/>
        <s v="Priya"/>
        <s v="Rahul"/>
        <s v="Neha"/>
      </sharedItems>
    </cacheField>
    <cacheField name="Product" numFmtId="0">
      <sharedItems count="7">
        <s v="Laptop"/>
        <s v="Mobile"/>
        <s v="Office Chair"/>
        <s v="Desk"/>
        <s v="Monitor"/>
        <s v="Keyboard"/>
        <s v="Mouse"/>
      </sharedItems>
    </cacheField>
    <cacheField name="Category" numFmtId="0">
      <sharedItems count="3">
        <s v="Electronics"/>
        <s v="Furniture"/>
        <s v="Accessories"/>
      </sharedItems>
    </cacheField>
    <cacheField name="Quantity" numFmtId="0">
      <sharedItems containsSemiMixedTypes="0" containsString="0" containsNumber="1" containsInteger="1" minValue="1" maxValue="20"/>
    </cacheField>
    <cacheField name="Sales_Amount" numFmtId="0">
      <sharedItems containsSemiMixedTypes="0" containsString="0" containsNumber="1" containsInteger="1" minValue="12000" maxValue="120000"/>
    </cacheField>
    <cacheField name="Cost_Amount" numFmtId="0">
      <sharedItems containsSemiMixedTypes="0" containsString="0" containsNumber="1" containsInteger="1" minValue="7200" maxValue="90000"/>
    </cacheField>
    <cacheField name="Order_Status" numFmtId="0">
      <sharedItems count="2">
        <s v="Completed"/>
        <s v="Cancelled"/>
      </sharedItems>
    </cacheField>
    <cacheField name="Source_Row_Order" numFmtId="0">
      <sharedItems containsSemiMixedTypes="0" containsString="0" containsNumber="1" containsInteger="1" minValue="1" maxValue="30"/>
    </cacheField>
    <cacheField name="Profit" numFmtId="0">
      <sharedItems containsSemiMixedTypes="0" containsString="0" containsNumber="1" containsInteger="1" minValue="4800" maxValue="30000"/>
    </cacheField>
    <cacheField name="Completed_Sales" numFmtId="0">
      <sharedItems containsSemiMixedTypes="0" containsString="0" containsNumber="1" containsInteger="1" minValue="0" maxValue="120000"/>
    </cacheField>
    <cacheField name="Completed_Profit" numFmtId="0">
      <sharedItems containsSemiMixedTypes="0" containsString="0" containsNumber="1" containsInteger="1" minValue="0" maxValue="30000"/>
    </cacheField>
    <cacheField name="Data_Quality_Status" numFmtId="0">
      <sharedItems/>
    </cacheField>
    <cacheField name="Completed_Quantity" numFmtId="0">
      <sharedItems containsSemiMixedTypes="0" containsString="0" containsNumber="1" containsInteger="1" minValue="0" maxValue="20"/>
    </cacheField>
  </cacheFields>
  <extLst>
    <ext xmlns:x14="http://schemas.microsoft.com/office/spreadsheetml/2009/9/main" uri="{725AE2AE-9491-48be-B2B4-4EB974FC3084}">
      <x14:pivotCacheDefinition pivotCacheId="76107610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s v="ORD1001"/>
    <x v="0"/>
    <x v="0"/>
    <x v="0"/>
    <x v="0"/>
    <x v="0"/>
    <n v="2"/>
    <n v="120000"/>
    <n v="90000"/>
    <x v="0"/>
    <n v="1"/>
    <n v="30000"/>
    <n v="120000"/>
    <n v="30000"/>
    <s v="Valid"/>
    <n v="2"/>
  </r>
  <r>
    <s v="ORD1002"/>
    <x v="1"/>
    <x v="1"/>
    <x v="1"/>
    <x v="1"/>
    <x v="0"/>
    <n v="5"/>
    <n v="100000"/>
    <n v="75000"/>
    <x v="0"/>
    <n v="2"/>
    <n v="25000"/>
    <n v="100000"/>
    <n v="25000"/>
    <s v="Valid"/>
    <n v="5"/>
  </r>
  <r>
    <s v="ORD1003"/>
    <x v="2"/>
    <x v="2"/>
    <x v="2"/>
    <x v="2"/>
    <x v="1"/>
    <n v="4"/>
    <n v="50000"/>
    <n v="32000"/>
    <x v="0"/>
    <n v="3"/>
    <n v="18000"/>
    <n v="50000"/>
    <n v="18000"/>
    <s v="Valid"/>
    <n v="4"/>
  </r>
  <r>
    <s v="ORD1004"/>
    <x v="3"/>
    <x v="3"/>
    <x v="3"/>
    <x v="3"/>
    <x v="1"/>
    <n v="3"/>
    <n v="45000"/>
    <n v="30000"/>
    <x v="0"/>
    <n v="4"/>
    <n v="15000"/>
    <n v="45000"/>
    <n v="15000"/>
    <s v="Valid"/>
    <n v="3"/>
  </r>
  <r>
    <s v="ORD1005"/>
    <x v="4"/>
    <x v="0"/>
    <x v="0"/>
    <x v="4"/>
    <x v="0"/>
    <n v="4"/>
    <n v="80000"/>
    <n v="60000"/>
    <x v="0"/>
    <n v="5"/>
    <n v="20000"/>
    <n v="80000"/>
    <n v="20000"/>
    <s v="Valid"/>
    <n v="4"/>
  </r>
  <r>
    <s v="ORD1006"/>
    <x v="5"/>
    <x v="1"/>
    <x v="1"/>
    <x v="5"/>
    <x v="2"/>
    <n v="10"/>
    <n v="25000"/>
    <n v="15000"/>
    <x v="0"/>
    <n v="6"/>
    <n v="10000"/>
    <n v="25000"/>
    <n v="10000"/>
    <s v="Valid"/>
    <n v="10"/>
  </r>
  <r>
    <s v="ORD1007"/>
    <x v="6"/>
    <x v="2"/>
    <x v="2"/>
    <x v="6"/>
    <x v="2"/>
    <n v="15"/>
    <n v="15000"/>
    <n v="9000"/>
    <x v="0"/>
    <n v="7"/>
    <n v="6000"/>
    <n v="15000"/>
    <n v="6000"/>
    <s v="Valid"/>
    <n v="15"/>
  </r>
  <r>
    <s v="ORD1008"/>
    <x v="7"/>
    <x v="3"/>
    <x v="3"/>
    <x v="0"/>
    <x v="0"/>
    <n v="1"/>
    <n v="60000"/>
    <n v="45000"/>
    <x v="0"/>
    <n v="8"/>
    <n v="15000"/>
    <n v="60000"/>
    <n v="15000"/>
    <s v="Valid"/>
    <n v="1"/>
  </r>
  <r>
    <s v="ORD1009"/>
    <x v="8"/>
    <x v="0"/>
    <x v="0"/>
    <x v="1"/>
    <x v="0"/>
    <n v="4"/>
    <n v="80000"/>
    <n v="60000"/>
    <x v="0"/>
    <n v="9"/>
    <n v="20000"/>
    <n v="80000"/>
    <n v="20000"/>
    <s v="Valid"/>
    <n v="4"/>
  </r>
  <r>
    <s v="ORD1010"/>
    <x v="9"/>
    <x v="1"/>
    <x v="1"/>
    <x v="2"/>
    <x v="1"/>
    <n v="5"/>
    <n v="60000"/>
    <n v="40000"/>
    <x v="0"/>
    <n v="10"/>
    <n v="20000"/>
    <n v="60000"/>
    <n v="20000"/>
    <s v="Valid"/>
    <n v="5"/>
  </r>
  <r>
    <s v="ORD1011"/>
    <x v="10"/>
    <x v="2"/>
    <x v="2"/>
    <x v="3"/>
    <x v="1"/>
    <n v="2"/>
    <n v="30000"/>
    <n v="20000"/>
    <x v="0"/>
    <n v="11"/>
    <n v="10000"/>
    <n v="30000"/>
    <n v="10000"/>
    <s v="Valid"/>
    <n v="2"/>
  </r>
  <r>
    <s v="ORD1012"/>
    <x v="11"/>
    <x v="3"/>
    <x v="3"/>
    <x v="4"/>
    <x v="0"/>
    <n v="3"/>
    <n v="60000"/>
    <n v="45000"/>
    <x v="0"/>
    <n v="12"/>
    <n v="15000"/>
    <n v="60000"/>
    <n v="15000"/>
    <s v="Valid"/>
    <n v="3"/>
  </r>
  <r>
    <s v="ORD1013"/>
    <x v="12"/>
    <x v="0"/>
    <x v="0"/>
    <x v="5"/>
    <x v="2"/>
    <n v="8"/>
    <n v="20000"/>
    <n v="12000"/>
    <x v="0"/>
    <n v="13"/>
    <n v="8000"/>
    <n v="20000"/>
    <n v="8000"/>
    <s v="Valid"/>
    <n v="8"/>
  </r>
  <r>
    <s v="ORD1014"/>
    <x v="13"/>
    <x v="1"/>
    <x v="1"/>
    <x v="6"/>
    <x v="2"/>
    <n v="20"/>
    <n v="20000"/>
    <n v="12000"/>
    <x v="0"/>
    <n v="14"/>
    <n v="8000"/>
    <n v="20000"/>
    <n v="8000"/>
    <s v="Valid"/>
    <n v="20"/>
  </r>
  <r>
    <s v="ORD1015"/>
    <x v="14"/>
    <x v="2"/>
    <x v="2"/>
    <x v="0"/>
    <x v="0"/>
    <n v="2"/>
    <n v="120000"/>
    <n v="90000"/>
    <x v="0"/>
    <n v="15"/>
    <n v="30000"/>
    <n v="120000"/>
    <n v="30000"/>
    <s v="Valid"/>
    <n v="2"/>
  </r>
  <r>
    <s v="ORD1016"/>
    <x v="15"/>
    <x v="3"/>
    <x v="3"/>
    <x v="1"/>
    <x v="0"/>
    <n v="3"/>
    <n v="60000"/>
    <n v="45000"/>
    <x v="0"/>
    <n v="16"/>
    <n v="15000"/>
    <n v="60000"/>
    <n v="15000"/>
    <s v="Valid"/>
    <n v="3"/>
  </r>
  <r>
    <s v="ORD1017"/>
    <x v="16"/>
    <x v="0"/>
    <x v="0"/>
    <x v="2"/>
    <x v="1"/>
    <n v="3"/>
    <n v="36000"/>
    <n v="24000"/>
    <x v="0"/>
    <n v="17"/>
    <n v="12000"/>
    <n v="36000"/>
    <n v="12000"/>
    <s v="Valid"/>
    <n v="3"/>
  </r>
  <r>
    <s v="ORD1018"/>
    <x v="17"/>
    <x v="1"/>
    <x v="1"/>
    <x v="3"/>
    <x v="1"/>
    <n v="4"/>
    <n v="60000"/>
    <n v="40000"/>
    <x v="0"/>
    <n v="18"/>
    <n v="20000"/>
    <n v="60000"/>
    <n v="20000"/>
    <s v="Valid"/>
    <n v="4"/>
  </r>
  <r>
    <s v="ORD1019"/>
    <x v="18"/>
    <x v="2"/>
    <x v="2"/>
    <x v="4"/>
    <x v="0"/>
    <n v="2"/>
    <n v="40000"/>
    <n v="30000"/>
    <x v="0"/>
    <n v="19"/>
    <n v="10000"/>
    <n v="40000"/>
    <n v="10000"/>
    <s v="Valid"/>
    <n v="2"/>
  </r>
  <r>
    <s v="ORD1020"/>
    <x v="19"/>
    <x v="3"/>
    <x v="3"/>
    <x v="5"/>
    <x v="2"/>
    <n v="5"/>
    <n v="12500"/>
    <n v="7500"/>
    <x v="1"/>
    <n v="20"/>
    <n v="5000"/>
    <n v="0"/>
    <n v="0"/>
    <s v="Valid"/>
    <n v="0"/>
  </r>
  <r>
    <s v="ORD1021"/>
    <x v="20"/>
    <x v="0"/>
    <x v="0"/>
    <x v="6"/>
    <x v="2"/>
    <n v="12"/>
    <n v="12000"/>
    <n v="7200"/>
    <x v="0"/>
    <n v="21"/>
    <n v="4800"/>
    <n v="12000"/>
    <n v="4800"/>
    <s v="Valid"/>
    <n v="12"/>
  </r>
  <r>
    <s v="ORD1022"/>
    <x v="21"/>
    <x v="1"/>
    <x v="1"/>
    <x v="0"/>
    <x v="0"/>
    <n v="1"/>
    <n v="60000"/>
    <n v="45000"/>
    <x v="0"/>
    <n v="22"/>
    <n v="15000"/>
    <n v="60000"/>
    <n v="15000"/>
    <s v="Valid"/>
    <n v="1"/>
  </r>
  <r>
    <s v="ORD1023"/>
    <x v="22"/>
    <x v="2"/>
    <x v="2"/>
    <x v="1"/>
    <x v="0"/>
    <n v="6"/>
    <n v="120000"/>
    <n v="90000"/>
    <x v="0"/>
    <n v="23"/>
    <n v="30000"/>
    <n v="120000"/>
    <n v="30000"/>
    <s v="Valid"/>
    <n v="6"/>
  </r>
  <r>
    <s v="ORD1024"/>
    <x v="23"/>
    <x v="3"/>
    <x v="3"/>
    <x v="2"/>
    <x v="1"/>
    <n v="2"/>
    <n v="24000"/>
    <n v="16000"/>
    <x v="0"/>
    <n v="24"/>
    <n v="8000"/>
    <n v="24000"/>
    <n v="8000"/>
    <s v="Valid"/>
    <n v="2"/>
  </r>
  <r>
    <s v="ORD1025"/>
    <x v="24"/>
    <x v="0"/>
    <x v="0"/>
    <x v="3"/>
    <x v="1"/>
    <n v="3"/>
    <n v="45000"/>
    <n v="30000"/>
    <x v="0"/>
    <n v="25"/>
    <n v="15000"/>
    <n v="45000"/>
    <n v="15000"/>
    <s v="Valid"/>
    <n v="3"/>
  </r>
  <r>
    <s v="ORD1026"/>
    <x v="25"/>
    <x v="1"/>
    <x v="1"/>
    <x v="4"/>
    <x v="0"/>
    <n v="2"/>
    <n v="40000"/>
    <n v="30000"/>
    <x v="0"/>
    <n v="26"/>
    <n v="10000"/>
    <n v="40000"/>
    <n v="10000"/>
    <s v="Valid"/>
    <n v="2"/>
  </r>
  <r>
    <s v="ORD1027"/>
    <x v="26"/>
    <x v="2"/>
    <x v="2"/>
    <x v="5"/>
    <x v="2"/>
    <n v="10"/>
    <n v="25000"/>
    <n v="15000"/>
    <x v="0"/>
    <n v="27"/>
    <n v="10000"/>
    <n v="25000"/>
    <n v="10000"/>
    <s v="Valid"/>
    <n v="10"/>
  </r>
  <r>
    <s v="ORD1028"/>
    <x v="27"/>
    <x v="3"/>
    <x v="3"/>
    <x v="6"/>
    <x v="2"/>
    <n v="15"/>
    <n v="15000"/>
    <n v="9000"/>
    <x v="0"/>
    <n v="28"/>
    <n v="6000"/>
    <n v="15000"/>
    <n v="6000"/>
    <s v="Valid"/>
    <n v="15"/>
  </r>
  <r>
    <s v="ORD1029"/>
    <x v="28"/>
    <x v="0"/>
    <x v="0"/>
    <x v="0"/>
    <x v="0"/>
    <n v="1"/>
    <n v="60000"/>
    <n v="45000"/>
    <x v="0"/>
    <n v="29"/>
    <n v="15000"/>
    <n v="60000"/>
    <n v="15000"/>
    <s v="Valid"/>
    <n v="1"/>
  </r>
  <r>
    <s v="ORD1030"/>
    <x v="29"/>
    <x v="1"/>
    <x v="1"/>
    <x v="1"/>
    <x v="0"/>
    <n v="4"/>
    <n v="80000"/>
    <n v="60000"/>
    <x v="0"/>
    <n v="30"/>
    <n v="20000"/>
    <n v="80000"/>
    <n v="20000"/>
    <s v="Valid"/>
    <n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F6AD0BA-CC18-4D40-8FC7-1E0EC77B9653}" name="ptSalesperson" cacheId="44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4">
  <location ref="A20:C25" firstHeaderRow="0" firstDataRow="1" firstDataCol="1"/>
  <pivotFields count="16">
    <pivotField showAll="0"/>
    <pivotField numFmtId="14" showAll="0">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t="default"/>
      </items>
    </pivotField>
    <pivotField showAll="0">
      <items count="5">
        <item x="2"/>
        <item x="0"/>
        <item x="1"/>
        <item x="3"/>
        <item t="default"/>
      </items>
    </pivotField>
    <pivotField axis="axisRow" showAll="0">
      <items count="5">
        <item x="0"/>
        <item x="3"/>
        <item x="1"/>
        <item x="2"/>
        <item t="default"/>
      </items>
    </pivotField>
    <pivotField showAll="0">
      <items count="8">
        <item x="3"/>
        <item x="5"/>
        <item x="0"/>
        <item x="1"/>
        <item x="4"/>
        <item x="6"/>
        <item x="2"/>
        <item t="default"/>
      </items>
    </pivotField>
    <pivotField showAll="0">
      <items count="4">
        <item x="2"/>
        <item x="0"/>
        <item x="1"/>
        <item t="default"/>
      </items>
    </pivotField>
    <pivotField showAll="0"/>
    <pivotField showAll="0"/>
    <pivotField showAll="0"/>
    <pivotField showAll="0">
      <items count="3">
        <item x="1"/>
        <item x="0"/>
        <item t="default"/>
      </items>
    </pivotField>
    <pivotField showAll="0"/>
    <pivotField showAll="0"/>
    <pivotField dataField="1" showAll="0"/>
    <pivotField dataField="1" showAll="0"/>
    <pivotField showAll="0"/>
    <pivotField showAll="0"/>
  </pivotFields>
  <rowFields count="1">
    <field x="3"/>
  </rowFields>
  <rowItems count="5">
    <i>
      <x/>
    </i>
    <i>
      <x v="1"/>
    </i>
    <i>
      <x v="2"/>
    </i>
    <i>
      <x v="3"/>
    </i>
    <i t="grand">
      <x/>
    </i>
  </rowItems>
  <colFields count="1">
    <field x="-2"/>
  </colFields>
  <colItems count="2">
    <i>
      <x/>
    </i>
    <i i="1">
      <x v="1"/>
    </i>
  </colItems>
  <dataFields count="2">
    <dataField name="Completed Sales" fld="12" baseField="3" baseItem="0"/>
    <dataField name="Sum of Completed_Profit" fld="13" baseField="0" baseItem="0"/>
  </dataFields>
  <chartFormats count="4">
    <chartFormat chart="0" format="0"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 chart="8" format="5" series="1">
      <pivotArea type="data" outline="0" fieldPosition="0">
        <references count="1">
          <reference field="4294967294" count="1" selected="0">
            <x v="0"/>
          </reference>
        </references>
      </pivotArea>
    </chartFormat>
    <chartFormat chart="8" format="6"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3A7A569-562C-4E06-BE51-B99E9A45470E}" name="ptCategory" cacheId="44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J20:M24" firstHeaderRow="0" firstDataRow="1" firstDataCol="1"/>
  <pivotFields count="16">
    <pivotField showAll="0"/>
    <pivotField numFmtId="14" showAll="0">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t="default"/>
      </items>
    </pivotField>
    <pivotField showAll="0">
      <items count="5">
        <item x="2"/>
        <item x="0"/>
        <item x="1"/>
        <item x="3"/>
        <item t="default"/>
      </items>
    </pivotField>
    <pivotField showAll="0">
      <items count="5">
        <item x="0"/>
        <item x="3"/>
        <item x="1"/>
        <item x="2"/>
        <item t="default"/>
      </items>
    </pivotField>
    <pivotField showAll="0">
      <items count="8">
        <item x="3"/>
        <item x="5"/>
        <item x="0"/>
        <item x="1"/>
        <item x="4"/>
        <item x="6"/>
        <item x="2"/>
        <item t="default"/>
      </items>
    </pivotField>
    <pivotField axis="axisRow" showAll="0">
      <items count="4">
        <item x="2"/>
        <item x="0"/>
        <item x="1"/>
        <item t="default"/>
      </items>
    </pivotField>
    <pivotField showAll="0"/>
    <pivotField showAll="0"/>
    <pivotField showAll="0"/>
    <pivotField showAll="0">
      <items count="3">
        <item x="1"/>
        <item x="0"/>
        <item t="default"/>
      </items>
    </pivotField>
    <pivotField showAll="0"/>
    <pivotField showAll="0"/>
    <pivotField dataField="1" showAll="0"/>
    <pivotField dataField="1" showAll="0"/>
    <pivotField showAll="0"/>
    <pivotField dataField="1" showAll="0"/>
  </pivotFields>
  <rowFields count="1">
    <field x="5"/>
  </rowFields>
  <rowItems count="4">
    <i>
      <x/>
    </i>
    <i>
      <x v="1"/>
    </i>
    <i>
      <x v="2"/>
    </i>
    <i t="grand">
      <x/>
    </i>
  </rowItems>
  <colFields count="1">
    <field x="-2"/>
  </colFields>
  <colItems count="3">
    <i>
      <x/>
    </i>
    <i i="1">
      <x v="1"/>
    </i>
    <i i="2">
      <x v="2"/>
    </i>
  </colItems>
  <dataFields count="3">
    <dataField name="Sum of Completed_Sales" fld="12" baseField="0" baseItem="0"/>
    <dataField name="Sum of Completed_Profit" fld="13" baseField="0" baseItem="0"/>
    <dataField name="Sum of Completed_Quantity" fld="1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EB5F016-60B5-4858-AC35-8D062E9276BD}" name="ptOrderStatus" cacheId="44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8">
  <location ref="A40:B43" firstHeaderRow="1" firstDataRow="1" firstDataCol="1"/>
  <pivotFields count="16">
    <pivotField dataField="1" showAll="0"/>
    <pivotField numFmtId="14" showAll="0">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t="default"/>
      </items>
    </pivotField>
    <pivotField showAll="0">
      <items count="5">
        <item x="2"/>
        <item x="0"/>
        <item x="1"/>
        <item x="3"/>
        <item t="default"/>
      </items>
    </pivotField>
    <pivotField showAll="0">
      <items count="5">
        <item x="0"/>
        <item x="3"/>
        <item x="1"/>
        <item x="2"/>
        <item t="default"/>
      </items>
    </pivotField>
    <pivotField showAll="0">
      <items count="8">
        <item x="3"/>
        <item x="5"/>
        <item x="0"/>
        <item x="1"/>
        <item x="4"/>
        <item x="6"/>
        <item x="2"/>
        <item t="default"/>
      </items>
    </pivotField>
    <pivotField showAll="0">
      <items count="4">
        <item x="2"/>
        <item x="0"/>
        <item x="1"/>
        <item t="default"/>
      </items>
    </pivotField>
    <pivotField showAll="0"/>
    <pivotField showAll="0"/>
    <pivotField showAll="0"/>
    <pivotField axis="axisRow" showAll="0">
      <items count="3">
        <item x="1"/>
        <item x="0"/>
        <item t="default"/>
      </items>
    </pivotField>
    <pivotField showAll="0"/>
    <pivotField showAll="0"/>
    <pivotField showAll="0"/>
    <pivotField showAll="0"/>
    <pivotField showAll="0"/>
    <pivotField showAll="0"/>
  </pivotFields>
  <rowFields count="1">
    <field x="9"/>
  </rowFields>
  <rowItems count="3">
    <i>
      <x/>
    </i>
    <i>
      <x v="1"/>
    </i>
    <i t="grand">
      <x/>
    </i>
  </rowItems>
  <colItems count="1">
    <i/>
  </colItems>
  <dataFields count="1">
    <dataField name="Count" fld="0" subtotal="count" baseField="9" baseItem="0"/>
  </dataFields>
  <chartFormats count="9">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9" count="1" selected="0">
            <x v="1"/>
          </reference>
        </references>
      </pivotArea>
    </chartFormat>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1">
          <reference field="4294967294" count="1" selected="0">
            <x v="0"/>
          </reference>
        </references>
      </pivotArea>
    </chartFormat>
    <chartFormat chart="4" format="5">
      <pivotArea type="data" outline="0" fieldPosition="0">
        <references count="2">
          <reference field="4294967294" count="1" selected="0">
            <x v="0"/>
          </reference>
          <reference field="9" count="1" selected="0">
            <x v="1"/>
          </reference>
        </references>
      </pivotArea>
    </chartFormat>
    <chartFormat chart="5" format="4" series="1">
      <pivotArea type="data" outline="0" fieldPosition="0">
        <references count="1">
          <reference field="4294967294" count="1" selected="0">
            <x v="0"/>
          </reference>
        </references>
      </pivotArea>
    </chartFormat>
    <chartFormat chart="5" format="5">
      <pivotArea type="data" outline="0" fieldPosition="0">
        <references count="2">
          <reference field="4294967294" count="1" selected="0">
            <x v="0"/>
          </reference>
          <reference field="9" count="1" selected="0">
            <x v="1"/>
          </reference>
        </references>
      </pivotArea>
    </chartFormat>
    <chartFormat chart="5" format="6">
      <pivotArea type="data" outline="0" fieldPosition="0">
        <references count="2">
          <reference field="4294967294" count="1" selected="0">
            <x v="0"/>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C7777E1-7882-4AC6-A4D1-48839A4F811D}" name="ptKPI" cacheId="44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P20:R21" firstHeaderRow="0" firstDataRow="1" firstDataCol="0" rowPageCount="1" colPageCount="1"/>
  <pivotFields count="16">
    <pivotField dataField="1" showAll="0"/>
    <pivotField numFmtId="14" showAll="0">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t="default"/>
      </items>
    </pivotField>
    <pivotField showAll="0">
      <items count="5">
        <item x="2"/>
        <item x="0"/>
        <item x="1"/>
        <item x="3"/>
        <item t="default"/>
      </items>
    </pivotField>
    <pivotField showAll="0">
      <items count="5">
        <item x="0"/>
        <item x="3"/>
        <item x="1"/>
        <item x="2"/>
        <item t="default"/>
      </items>
    </pivotField>
    <pivotField showAll="0">
      <items count="8">
        <item x="3"/>
        <item x="5"/>
        <item x="0"/>
        <item x="1"/>
        <item x="4"/>
        <item x="6"/>
        <item x="2"/>
        <item t="default"/>
      </items>
    </pivotField>
    <pivotField showAll="0">
      <items count="4">
        <item x="2"/>
        <item x="0"/>
        <item x="1"/>
        <item t="default"/>
      </items>
    </pivotField>
    <pivotField showAll="0"/>
    <pivotField showAll="0"/>
    <pivotField showAll="0"/>
    <pivotField axis="axisPage" showAll="0">
      <items count="3">
        <item x="1"/>
        <item x="0"/>
        <item t="default"/>
      </items>
    </pivotField>
    <pivotField showAll="0"/>
    <pivotField showAll="0"/>
    <pivotField dataField="1" showAll="0"/>
    <pivotField dataField="1" showAll="0"/>
    <pivotField showAll="0"/>
    <pivotField showAll="0"/>
  </pivotFields>
  <rowItems count="1">
    <i/>
  </rowItems>
  <colFields count="1">
    <field x="-2"/>
  </colFields>
  <colItems count="3">
    <i>
      <x/>
    </i>
    <i i="1">
      <x v="1"/>
    </i>
    <i i="2">
      <x v="2"/>
    </i>
  </colItems>
  <pageFields count="1">
    <pageField fld="9" hier="-1"/>
  </pageFields>
  <dataFields count="3">
    <dataField name="Sum of Completed_Sales" fld="12" baseField="0" baseItem="0"/>
    <dataField name="Sum of Completed_Profit" fld="13" baseField="0" baseItem="0"/>
    <dataField name="Count of Order_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3BA46A8-53F2-4DF6-8C2D-99E23B41D8AC}" name="ptProduct" cacheId="44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1">
  <location ref="J1:M9" firstHeaderRow="0" firstDataRow="1" firstDataCol="1"/>
  <pivotFields count="16">
    <pivotField showAll="0"/>
    <pivotField numFmtId="14" showAll="0">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t="default"/>
      </items>
    </pivotField>
    <pivotField showAll="0">
      <items count="5">
        <item x="2"/>
        <item x="0"/>
        <item x="1"/>
        <item x="3"/>
        <item t="default"/>
      </items>
    </pivotField>
    <pivotField showAll="0">
      <items count="5">
        <item x="0"/>
        <item x="3"/>
        <item x="1"/>
        <item x="2"/>
        <item t="default"/>
      </items>
    </pivotField>
    <pivotField axis="axisRow" showAll="0">
      <items count="8">
        <item x="3"/>
        <item x="5"/>
        <item x="0"/>
        <item x="1"/>
        <item x="4"/>
        <item x="6"/>
        <item x="2"/>
        <item t="default"/>
      </items>
    </pivotField>
    <pivotField showAll="0">
      <items count="4">
        <item x="2"/>
        <item x="0"/>
        <item x="1"/>
        <item t="default"/>
      </items>
    </pivotField>
    <pivotField showAll="0"/>
    <pivotField showAll="0"/>
    <pivotField showAll="0"/>
    <pivotField showAll="0">
      <items count="3">
        <item x="1"/>
        <item x="0"/>
        <item t="default"/>
      </items>
    </pivotField>
    <pivotField showAll="0"/>
    <pivotField showAll="0"/>
    <pivotField dataField="1" showAll="0"/>
    <pivotField dataField="1" showAll="0"/>
    <pivotField showAll="0"/>
    <pivotField dataField="1" showAll="0"/>
  </pivotFields>
  <rowFields count="1">
    <field x="4"/>
  </rowFields>
  <rowItems count="8">
    <i>
      <x/>
    </i>
    <i>
      <x v="1"/>
    </i>
    <i>
      <x v="2"/>
    </i>
    <i>
      <x v="3"/>
    </i>
    <i>
      <x v="4"/>
    </i>
    <i>
      <x v="5"/>
    </i>
    <i>
      <x v="6"/>
    </i>
    <i t="grand">
      <x/>
    </i>
  </rowItems>
  <colFields count="1">
    <field x="-2"/>
  </colFields>
  <colItems count="3">
    <i>
      <x/>
    </i>
    <i i="1">
      <x v="1"/>
    </i>
    <i i="2">
      <x v="2"/>
    </i>
  </colItems>
  <dataFields count="3">
    <dataField name="Completed Sales" fld="12" baseField="4" baseItem="0"/>
    <dataField name="Sum of Completed_Profit" fld="13" baseField="0" baseItem="0"/>
    <dataField name="Sum of Completed_Quantity" fld="15" baseField="0" baseItem="0"/>
  </dataFields>
  <chartFormats count="9">
    <chartFormat chart="0" format="0" series="1">
      <pivotArea type="data" outline="0" fieldPosition="0">
        <references count="1">
          <reference field="4294967294" count="1" selected="0">
            <x v="0"/>
          </reference>
        </references>
      </pivotArea>
    </chartFormat>
    <chartFormat chart="0" format="4" series="1">
      <pivotArea type="data" outline="0" fieldPosition="0">
        <references count="1">
          <reference field="4294967294" count="1" selected="0">
            <x v="1"/>
          </reference>
        </references>
      </pivotArea>
    </chartFormat>
    <chartFormat chart="0" format="5" series="1">
      <pivotArea type="data" outline="0" fieldPosition="0">
        <references count="1">
          <reference field="4294967294" count="1" selected="0">
            <x v="2"/>
          </reference>
        </references>
      </pivotArea>
    </chartFormat>
    <chartFormat chart="6" format="6" series="1">
      <pivotArea type="data" outline="0" fieldPosition="0">
        <references count="1">
          <reference field="4294967294" count="1" selected="0">
            <x v="0"/>
          </reference>
        </references>
      </pivotArea>
    </chartFormat>
    <chartFormat chart="6" format="7" series="1">
      <pivotArea type="data" outline="0" fieldPosition="0">
        <references count="1">
          <reference field="4294967294" count="1" selected="0">
            <x v="1"/>
          </reference>
        </references>
      </pivotArea>
    </chartFormat>
    <chartFormat chart="6" format="8"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0"/>
          </reference>
        </references>
      </pivotArea>
    </chartFormat>
    <chartFormat chart="8" format="13" series="1">
      <pivotArea type="data" outline="0" fieldPosition="0">
        <references count="1">
          <reference field="4294967294" count="1" selected="0">
            <x v="1"/>
          </reference>
        </references>
      </pivotArea>
    </chartFormat>
    <chartFormat chart="8" format="14"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E2C3F06-3562-4B9C-BDF9-2267E36BEA33}" name="ptDailySales" cacheId="44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8">
  <location ref="J40:K71" firstHeaderRow="1" firstDataRow="1" firstDataCol="1"/>
  <pivotFields count="16">
    <pivotField showAll="0"/>
    <pivotField axis="axisRow" numFmtId="166" showAll="0">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t="default"/>
      </items>
    </pivotField>
    <pivotField showAll="0">
      <items count="5">
        <item x="2"/>
        <item x="0"/>
        <item x="1"/>
        <item x="3"/>
        <item t="default"/>
      </items>
    </pivotField>
    <pivotField showAll="0">
      <items count="5">
        <item x="0"/>
        <item x="3"/>
        <item x="1"/>
        <item x="2"/>
        <item t="default"/>
      </items>
    </pivotField>
    <pivotField showAll="0">
      <items count="8">
        <item x="3"/>
        <item x="5"/>
        <item x="0"/>
        <item x="1"/>
        <item x="4"/>
        <item x="6"/>
        <item x="2"/>
        <item t="default"/>
      </items>
    </pivotField>
    <pivotField showAll="0">
      <items count="4">
        <item x="2"/>
        <item x="0"/>
        <item x="1"/>
        <item t="default"/>
      </items>
    </pivotField>
    <pivotField showAll="0"/>
    <pivotField showAll="0"/>
    <pivotField showAll="0"/>
    <pivotField showAll="0">
      <items count="3">
        <item x="1"/>
        <item x="0"/>
        <item t="default"/>
      </items>
    </pivotField>
    <pivotField showAll="0"/>
    <pivotField showAll="0"/>
    <pivotField dataField="1" showAll="0"/>
    <pivotField showAll="0"/>
    <pivotField showAll="0"/>
    <pivotField showAll="0"/>
  </pivotFields>
  <rowFields count="1">
    <field x="1"/>
  </rowFields>
  <rowItems count="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t="grand">
      <x/>
    </i>
  </rowItems>
  <colItems count="1">
    <i/>
  </colItems>
  <dataFields count="1">
    <dataField name="Sum of Completed_Sales" fld="12" baseField="0" baseItem="0"/>
  </dataField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99D6E34-AF31-4363-812C-18677B1293F6}" name="ptRegion" cacheId="44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9">
  <location ref="A3:D8" firstHeaderRow="0" firstDataRow="1" firstDataCol="1" rowPageCount="1" colPageCount="1"/>
  <pivotFields count="16">
    <pivotField dataField="1" showAll="0"/>
    <pivotField numFmtId="14" showAll="0">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t="default"/>
      </items>
    </pivotField>
    <pivotField axis="axisRow" showAll="0" sortType="descending">
      <items count="5">
        <item x="2"/>
        <item x="0"/>
        <item x="1"/>
        <item x="3"/>
        <item t="default"/>
      </items>
      <autoSortScope>
        <pivotArea dataOnly="0" outline="0" fieldPosition="0">
          <references count="1">
            <reference field="4294967294" count="1" selected="0">
              <x v="0"/>
            </reference>
          </references>
        </pivotArea>
      </autoSortScope>
    </pivotField>
    <pivotField showAll="0">
      <items count="5">
        <item x="0"/>
        <item x="3"/>
        <item x="1"/>
        <item x="2"/>
        <item t="default"/>
      </items>
    </pivotField>
    <pivotField showAll="0">
      <items count="8">
        <item x="3"/>
        <item x="5"/>
        <item x="0"/>
        <item x="1"/>
        <item x="4"/>
        <item x="6"/>
        <item x="2"/>
        <item t="default"/>
      </items>
    </pivotField>
    <pivotField showAll="0">
      <items count="4">
        <item x="2"/>
        <item x="0"/>
        <item x="1"/>
        <item t="default"/>
      </items>
    </pivotField>
    <pivotField showAll="0"/>
    <pivotField showAll="0"/>
    <pivotField showAll="0"/>
    <pivotField axis="axisPage" showAll="0">
      <items count="3">
        <item x="1"/>
        <item x="0"/>
        <item t="default"/>
      </items>
    </pivotField>
    <pivotField showAll="0"/>
    <pivotField showAll="0"/>
    <pivotField dataField="1" showAll="0"/>
    <pivotField dataField="1" showAll="0"/>
    <pivotField showAll="0"/>
    <pivotField showAll="0"/>
  </pivotFields>
  <rowFields count="1">
    <field x="2"/>
  </rowFields>
  <rowItems count="5">
    <i>
      <x v="1"/>
    </i>
    <i>
      <x v="2"/>
    </i>
    <i>
      <x/>
    </i>
    <i>
      <x v="3"/>
    </i>
    <i t="grand">
      <x/>
    </i>
  </rowItems>
  <colFields count="1">
    <field x="-2"/>
  </colFields>
  <colItems count="3">
    <i>
      <x/>
    </i>
    <i i="1">
      <x v="1"/>
    </i>
    <i i="2">
      <x v="2"/>
    </i>
  </colItems>
  <pageFields count="1">
    <pageField fld="9" hier="-1"/>
  </pageFields>
  <dataFields count="3">
    <dataField name="Completed Sales" fld="12" baseField="2" baseItem="0" numFmtId="165"/>
    <dataField name="Sum of Completed_Profit" fld="13" baseField="0" baseItem="0"/>
    <dataField name="Count of Order_Id" fld="0" subtotal="count" baseField="0" baseItem="0"/>
  </dataFields>
  <chartFormats count="6">
    <chartFormat chart="0" format="0"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 chart="0" format="3" series="1">
      <pivotArea type="data" outline="0" fieldPosition="0">
        <references count="1">
          <reference field="4294967294" count="1" selected="0">
            <x v="2"/>
          </reference>
        </references>
      </pivotArea>
    </chartFormat>
    <chartFormat chart="13" format="7" series="1">
      <pivotArea type="data" outline="0" fieldPosition="0">
        <references count="1">
          <reference field="4294967294" count="1" selected="0">
            <x v="0"/>
          </reference>
        </references>
      </pivotArea>
    </chartFormat>
    <chartFormat chart="13" format="8" series="1">
      <pivotArea type="data" outline="0" fieldPosition="0">
        <references count="1">
          <reference field="4294967294" count="1" selected="0">
            <x v="1"/>
          </reference>
        </references>
      </pivotArea>
    </chartFormat>
    <chartFormat chart="13" format="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8670565E-6ECB-4B99-9990-3108D5A9B609}" autoFormatId="16" applyNumberFormats="0" applyBorderFormats="0" applyFontFormats="0" applyPatternFormats="0" applyAlignmentFormats="0" applyWidthHeightFormats="0">
  <queryTableRefresh nextId="30">
    <queryTableFields count="16">
      <queryTableField id="17" name="Order_Id" tableColumnId="16"/>
      <queryTableField id="2" name="Order_Date" tableColumnId="2"/>
      <queryTableField id="3" name="Region" tableColumnId="3"/>
      <queryTableField id="4" name="Salesperson" tableColumnId="4"/>
      <queryTableField id="5" name="Product" tableColumnId="5"/>
      <queryTableField id="6" name="Category" tableColumnId="6"/>
      <queryTableField id="7" name="Quantity" tableColumnId="7"/>
      <queryTableField id="8" name="Sales_Amount" tableColumnId="8"/>
      <queryTableField id="9" name="Cost_Amount" tableColumnId="9"/>
      <queryTableField id="10" name="Order_Status" tableColumnId="10"/>
      <queryTableField id="15" name="Source_Row_Order" tableColumnId="15"/>
      <queryTableField id="11" name="Profit" tableColumnId="11"/>
      <queryTableField id="12" name="Completed_Sales" tableColumnId="12"/>
      <queryTableField id="13" name="Completed_Profit" tableColumnId="13"/>
      <queryTableField id="18" name="Data_Quality_Status" tableColumnId="17"/>
      <queryTableField id="29" name="Completed_Quantity" tableColumnId="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B57E013-A768-4C71-A430-E04530F88769}" sourceName="Region">
  <pivotTables>
    <pivotTable tabId="16" name="ptRegion"/>
    <pivotTable tabId="16" name="ptCategory"/>
    <pivotTable tabId="16" name="ptDailySales"/>
    <pivotTable tabId="16" name="ptOrderStatus"/>
    <pivotTable tabId="16" name="ptProduct"/>
    <pivotTable tabId="16" name="ptSalesperson"/>
    <pivotTable tabId="16" name="ptKPI"/>
  </pivotTables>
  <data>
    <tabular pivotCacheId="761076109">
      <items count="4">
        <i x="2" s="1"/>
        <i x="0" s="1"/>
        <i x="1"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person" xr10:uid="{F4EF2904-8E41-49DC-91B6-B4CCB204400E}" sourceName="Salesperson">
  <pivotTables>
    <pivotTable tabId="16" name="ptRegion"/>
    <pivotTable tabId="16" name="ptCategory"/>
    <pivotTable tabId="16" name="ptDailySales"/>
    <pivotTable tabId="16" name="ptOrderStatus"/>
    <pivotTable tabId="16" name="ptProduct"/>
    <pivotTable tabId="16" name="ptSalesperson"/>
    <pivotTable tabId="16" name="ptKPI"/>
  </pivotTables>
  <data>
    <tabular pivotCacheId="761076109">
      <items count="4">
        <i x="0" s="1"/>
        <i x="3"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96BDA90C-A148-4C60-A37D-3181AEEEB8B1}" sourceName="Product">
  <pivotTables>
    <pivotTable tabId="16" name="ptRegion"/>
    <pivotTable tabId="16" name="ptCategory"/>
    <pivotTable tabId="16" name="ptDailySales"/>
    <pivotTable tabId="16" name="ptOrderStatus"/>
    <pivotTable tabId="16" name="ptProduct"/>
    <pivotTable tabId="16" name="ptSalesperson"/>
    <pivotTable tabId="16" name="ptKPI"/>
  </pivotTables>
  <data>
    <tabular pivotCacheId="761076109">
      <items count="7">
        <i x="3" s="1"/>
        <i x="5" s="1"/>
        <i x="0" s="1"/>
        <i x="1" s="1"/>
        <i x="4" s="1"/>
        <i x="6"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4316917A-AA7F-459D-901E-027CBE31A422}" sourceName="Category">
  <pivotTables>
    <pivotTable tabId="16" name="ptRegion"/>
    <pivotTable tabId="16" name="ptCategory"/>
    <pivotTable tabId="16" name="ptDailySales"/>
    <pivotTable tabId="16" name="ptOrderStatus"/>
    <pivotTable tabId="16" name="ptProduct"/>
    <pivotTable tabId="16" name="ptSalesperson"/>
    <pivotTable tabId="16" name="ptKPI"/>
  </pivotTables>
  <data>
    <tabular pivotCacheId="761076109">
      <items count="3">
        <i x="2" s="1"/>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Status" xr10:uid="{7058D69D-601F-4F74-8E7F-A0249DE9970E}" sourceName="Order_Status">
  <pivotTables>
    <pivotTable tabId="16" name="ptRegion"/>
    <pivotTable tabId="16" name="ptCategory"/>
    <pivotTable tabId="16" name="ptDailySales"/>
    <pivotTable tabId="16" name="ptOrderStatus"/>
    <pivotTable tabId="16" name="ptProduct"/>
    <pivotTable tabId="16" name="ptSalesperson"/>
    <pivotTable tabId="16" name="ptKPI"/>
  </pivotTables>
  <data>
    <tabular pivotCacheId="761076109">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5BD279E0-DB2C-4322-A0AC-89748482612A}" cache="Slicer_Region" caption="Region" style="SlicerStyleOther2" rowHeight="234950"/>
  <slicer name="Salesperson" xr10:uid="{D7F39E0A-D5F0-495F-903D-ACA7FD949758}" cache="Slicer_Salesperson" caption="Salesperson" style="SlicerStyleOther2" rowHeight="234950"/>
  <slicer name="Product" xr10:uid="{3F979F4B-EE4E-4DFE-96A1-D63415E41442}" cache="Slicer_Product" caption="Product" style="SlicerStyleOther2" rowHeight="234950"/>
  <slicer name="Category" xr10:uid="{B89FBD18-0602-4790-9040-F825E88EED75}" cache="Slicer_Category" caption="Category" style="SlicerStyleOther2" rowHeight="234950"/>
  <slicer name="Order_Status" xr10:uid="{042BF504-AD23-4836-9348-D065CC1FC316}" cache="Slicer_Order_Status" caption="Order_Status" style="SlicerStyleOther2" rowHeight="234950"/>
</slicer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D52D9B3-80FD-42BF-AA01-F1BD04C6FE15}" name="tblCalendar" displayName="tblCalendar" ref="A1:G32" totalsRowShown="0" headerRowDxfId="16">
  <autoFilter ref="A1:G32" xr:uid="{5D52D9B3-80FD-42BF-AA01-F1BD04C6FE15}"/>
  <tableColumns count="7">
    <tableColumn id="1" xr3:uid="{20F26E85-6907-4FD8-B0DA-7744F24BCFE0}" name="DATE" dataDxfId="15"/>
    <tableColumn id="2" xr3:uid="{568A2958-E876-476B-B3FC-C5659E0400A7}" name="Year" dataDxfId="14">
      <calculatedColumnFormula>YEAR(tblCalendar[[#This Row],[DATE]])</calculatedColumnFormula>
    </tableColumn>
    <tableColumn id="3" xr3:uid="{A66B6FF2-5CF7-48DD-824C-91C2937EF9A8}" name="Month Number" dataDxfId="13">
      <calculatedColumnFormula>MONTH(tblCalendar[[#This Row],[DATE]])</calculatedColumnFormula>
    </tableColumn>
    <tableColumn id="4" xr3:uid="{8626C380-B40A-44DF-B52B-75AA087C75CF}" name="Month Name" dataDxfId="12">
      <calculatedColumnFormula>TEXT(tblCalendar[[#This Row],[DATE]],"mmmm")</calculatedColumnFormula>
    </tableColumn>
    <tableColumn id="5" xr3:uid="{FE29A514-2874-4E54-9C28-A0F2D180269B}" name="Month- Year" dataDxfId="11">
      <calculatedColumnFormula>TEXT(tblCalendar[[#This Row],[DATE]],"mmm-yyyy")</calculatedColumnFormula>
    </tableColumn>
    <tableColumn id="6" xr3:uid="{E8C464C0-BF3E-4494-BAF3-EC1236912F55}" name="Quarter" dataDxfId="10"/>
    <tableColumn id="7" xr3:uid="{7A0165D1-369D-4EB8-A75D-22302CDCC522}" name="Day Name" dataDxfId="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4003D42-FE5F-4A46-9C4A-57B09FC85786}" name="tblTargets" displayName="tblTargets" ref="A1:C5" totalsRowShown="0">
  <autoFilter ref="A1:C5" xr:uid="{04003D42-FE5F-4A46-9C4A-57B09FC85786}"/>
  <tableColumns count="3">
    <tableColumn id="1" xr3:uid="{AF43C08E-63B2-4ED6-A919-C001719DFF3F}" name="Region"/>
    <tableColumn id="2" xr3:uid="{CB796063-7CB9-4D8B-887F-AFDF8FF85B84}" name="Monthly_Sales_Target"/>
    <tableColumn id="3" xr3:uid="{DF115B1B-EB57-4EEF-A231-B8D75E3078CC}" name="Monthly_Profit_Targe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A36BAAF-2164-4139-94AC-DB762984D767}" name="tblCleanSales" displayName="tblCleanSales" ref="A3:P33" tableType="queryTable" totalsRowShown="0">
  <autoFilter ref="A3:P33" xr:uid="{BA36BAAF-2164-4139-94AC-DB762984D767}"/>
  <tableColumns count="16">
    <tableColumn id="16" xr3:uid="{47F32FF5-1244-4BFF-8C5A-63F75426E9C1}" uniqueName="16" name="Order_Id" queryTableFieldId="17" dataDxfId="8"/>
    <tableColumn id="2" xr3:uid="{45F93B04-CBDC-421F-8875-D0DFEF172F80}" uniqueName="2" name="Order_Date" queryTableFieldId="2" dataDxfId="0"/>
    <tableColumn id="3" xr3:uid="{D5449237-9824-4E6B-AF12-EB8A96DC2426}" uniqueName="3" name="Region" queryTableFieldId="3" dataDxfId="7"/>
    <tableColumn id="4" xr3:uid="{A3E0F149-3E81-4BB9-B58D-2608DBC77B7B}" uniqueName="4" name="Salesperson" queryTableFieldId="4" dataDxfId="6"/>
    <tableColumn id="5" xr3:uid="{A1B709E5-E2F7-4DFD-9F05-820C05975FE0}" uniqueName="5" name="Product" queryTableFieldId="5" dataDxfId="5"/>
    <tableColumn id="6" xr3:uid="{1DA62CF6-EBA7-4A2D-8092-07B92131A21C}" uniqueName="6" name="Category" queryTableFieldId="6" dataDxfId="4"/>
    <tableColumn id="7" xr3:uid="{AFD64EF3-3CFC-4564-BC10-FB2A7A961563}" uniqueName="7" name="Quantity" queryTableFieldId="7"/>
    <tableColumn id="8" xr3:uid="{F433BDB4-9F6F-4B3D-B4E8-BA907E9FFCA5}" uniqueName="8" name="Sales_Amount" queryTableFieldId="8"/>
    <tableColumn id="9" xr3:uid="{84DCEC0C-6504-42F4-8613-AEEE1F8835A1}" uniqueName="9" name="Cost_Amount" queryTableFieldId="9"/>
    <tableColumn id="10" xr3:uid="{AB73A521-B73B-44F0-8696-9A86255BAD64}" uniqueName="10" name="Order_Status" queryTableFieldId="10" dataDxfId="3"/>
    <tableColumn id="15" xr3:uid="{F16F1509-03A0-427C-AF91-E3340FF7799F}" uniqueName="15" name="Source_Row_Order" queryTableFieldId="15"/>
    <tableColumn id="11" xr3:uid="{B0A1AD1A-AF86-4CD4-B67E-59C34DF07097}" uniqueName="11" name="Profit" queryTableFieldId="11"/>
    <tableColumn id="12" xr3:uid="{946E3F41-638B-4FED-82D9-B274988497EF}" uniqueName="12" name="Completed_Sales" queryTableFieldId="12"/>
    <tableColumn id="13" xr3:uid="{A7F22502-72D4-4F16-9390-DFC059636DA4}" uniqueName="13" name="Completed_Profit" queryTableFieldId="13"/>
    <tableColumn id="17" xr3:uid="{5FC8F65F-46EA-4E0A-9453-295B4265B533}" uniqueName="17" name="Data_Quality_Status" queryTableFieldId="18"/>
    <tableColumn id="1" xr3:uid="{F9737295-8E22-4FA3-80B9-51FD2E4A1B67}" uniqueName="1" name="Completed_Quantity" queryTableFieldId="29"/>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C2E0F58-290E-4582-8B80-2B88AA251F20}" name="tblSales" displayName="tblSales" ref="A1:J31" totalsRowShown="0">
  <autoFilter ref="A1:J31" xr:uid="{3C2E0F58-290E-4582-8B80-2B88AA251F20}"/>
  <tableColumns count="10">
    <tableColumn id="1" xr3:uid="{2547EB84-18DF-44AF-8757-080941623212}" name="S"/>
    <tableColumn id="2" xr3:uid="{1C820C2E-4F3C-415B-A94C-6871D7A45EAB}" name="Order_Date"/>
    <tableColumn id="3" xr3:uid="{2BF5F064-8104-4872-BED5-01165892B721}" name="Region"/>
    <tableColumn id="4" xr3:uid="{70E12688-B6ED-48D7-AAB1-33782D804C66}" name="Salesperson"/>
    <tableColumn id="5" xr3:uid="{223BC53E-FF09-44C9-840A-C3CE8ADE3C40}" name="Product"/>
    <tableColumn id="6" xr3:uid="{ACF88464-F482-4F8D-9263-306B76DAAC08}" name="Category"/>
    <tableColumn id="7" xr3:uid="{DE895A07-8B3D-46D3-B973-AAC7A462CFCA}" name="Quantity"/>
    <tableColumn id="8" xr3:uid="{7FF69E46-FFE6-418B-94BE-4B2EAF319C24}" name="Sales_Amount"/>
    <tableColumn id="9" xr3:uid="{C7049B8C-134D-4665-B487-1176B7F74BAE}" name="Cost_Amount"/>
    <tableColumn id="10" xr3:uid="{0AE482D6-C90B-4658-8A6B-A4C28A591B91}" name="Order_Statu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 xr10:uid="{E968AE39-C57B-4BA1-AF61-BC191C0A89E5}" sourceName="Order_Date">
  <pivotTables>
    <pivotTable tabId="16" name="ptDailySales"/>
    <pivotTable tabId="16" name="ptCategory"/>
    <pivotTable tabId="16" name="ptOrderStatus"/>
    <pivotTable tabId="16" name="ptProduct"/>
    <pivotTable tabId="16" name="ptRegion"/>
    <pivotTable tabId="16" name="ptSalesperson"/>
    <pivotTable tabId="16" name="ptKPI"/>
  </pivotTables>
  <state minimalRefreshVersion="6" lastRefreshVersion="6" pivotCacheId="761076109" filterType="unknown">
    <bounds startDate="2026-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_Date" xr10:uid="{00B3E13F-886F-413B-9B8E-42EF1912B250}" cache="NativeTimeline_Order_Date" caption="Order_Date" level="3" selectionLevel="3" scrollPosition="2026-01-01T00:00:00" style="TimeSlicerStyleLight5"/>
</timeline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11/relationships/timeline" Target="../timelines/timeline1.xml"/><Relationship Id="rId5" Type="http://schemas.microsoft.com/office/2007/relationships/slicer" Target="../slicers/slicer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DDC96-9975-4697-B264-EB7F5E0E70C0}">
  <sheetPr codeName="Sheet1"/>
  <dimension ref="A1"/>
  <sheetViews>
    <sheetView workbookViewId="0">
      <selection activeCell="G18" sqref="G18"/>
    </sheetView>
  </sheetViews>
  <sheetFormatPr defaultRowHeight="14.4"/>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30F006-5194-4FE5-BF7A-0BB3F6F15B95}">
  <sheetPr codeName="Sheet2"/>
  <dimension ref="B2:Y96"/>
  <sheetViews>
    <sheetView showGridLines="0" tabSelected="1" zoomScale="81" zoomScaleNormal="81" zoomScaleSheetLayoutView="107" workbookViewId="0">
      <selection activeCell="V6" sqref="V6"/>
    </sheetView>
  </sheetViews>
  <sheetFormatPr defaultRowHeight="14.4"/>
  <cols>
    <col min="6" max="6" width="12.109375" customWidth="1"/>
    <col min="16" max="17" width="8.88671875" customWidth="1"/>
    <col min="22" max="22" width="11.109375" bestFit="1" customWidth="1"/>
    <col min="24" max="24" width="13.5546875" bestFit="1" customWidth="1"/>
  </cols>
  <sheetData>
    <row r="2" spans="2:22" ht="39" customHeight="1">
      <c r="B2" s="36" t="s">
        <v>148</v>
      </c>
      <c r="C2" s="37"/>
      <c r="D2" s="37"/>
      <c r="E2" s="37"/>
      <c r="F2" s="37"/>
      <c r="G2" s="37"/>
      <c r="H2" s="37"/>
      <c r="I2" s="37"/>
      <c r="J2" s="37"/>
      <c r="K2" s="37"/>
      <c r="L2" s="37"/>
      <c r="M2" s="37"/>
      <c r="N2" s="37"/>
      <c r="O2" s="37"/>
      <c r="P2" s="37"/>
      <c r="Q2" s="37"/>
      <c r="R2" s="38"/>
      <c r="T2" t="s">
        <v>162</v>
      </c>
    </row>
    <row r="3" spans="2:22" ht="23.4" customHeight="1">
      <c r="B3" s="39" t="s">
        <v>163</v>
      </c>
      <c r="C3" s="73"/>
      <c r="D3" s="73"/>
      <c r="E3" s="73"/>
      <c r="F3" s="73"/>
      <c r="G3" s="73"/>
      <c r="H3" s="73"/>
      <c r="I3" s="73"/>
      <c r="J3" s="73"/>
      <c r="K3" s="73"/>
      <c r="L3" s="73"/>
      <c r="M3" s="73"/>
      <c r="N3" s="73"/>
      <c r="O3" s="73"/>
      <c r="P3" s="73"/>
      <c r="Q3" s="74"/>
      <c r="R3" s="72"/>
    </row>
    <row r="4" spans="2:22" ht="18" customHeight="1">
      <c r="B4" s="40" t="s">
        <v>152</v>
      </c>
      <c r="C4" s="41"/>
      <c r="D4" s="41"/>
      <c r="E4" s="41"/>
      <c r="F4" s="41"/>
      <c r="G4" s="41"/>
      <c r="H4" s="41"/>
      <c r="I4" s="41"/>
      <c r="J4" s="41"/>
      <c r="K4" s="41"/>
      <c r="L4" s="41"/>
      <c r="M4" s="41"/>
      <c r="N4" s="41"/>
      <c r="O4" s="41"/>
      <c r="P4" s="41"/>
      <c r="Q4" s="41"/>
      <c r="R4" s="42"/>
    </row>
    <row r="5" spans="2:22" ht="18">
      <c r="B5" s="43" t="str">
        <f>"Reporting Period: "&amp;TEXT(MIN(tblCleanSales[Order_Date]),"dd-mmm-yyyy")&amp;" to "&amp;TEXT(MAX(tblCleanSales[Order_Date]),"dd-mmm-yyyy")</f>
        <v>Reporting Period: 01-Jan-2026 to 30-Jan-2026</v>
      </c>
      <c r="C5" s="44"/>
      <c r="D5" s="44"/>
      <c r="E5" s="44"/>
      <c r="F5" s="44"/>
      <c r="G5" s="44"/>
      <c r="H5" s="44"/>
      <c r="I5" s="44"/>
      <c r="J5" s="44"/>
      <c r="K5" s="44"/>
      <c r="L5" s="44"/>
      <c r="M5" s="44"/>
      <c r="N5" s="44"/>
      <c r="O5" s="44"/>
      <c r="P5" s="44"/>
      <c r="Q5" s="44"/>
      <c r="R5" s="45"/>
    </row>
    <row r="6" spans="2:22">
      <c r="B6" s="27"/>
      <c r="C6" s="28"/>
      <c r="D6" s="28"/>
      <c r="E6" s="28"/>
      <c r="F6" s="29"/>
      <c r="G6" s="27"/>
      <c r="H6" s="28"/>
      <c r="I6" s="28"/>
      <c r="J6" s="28"/>
      <c r="K6" s="29"/>
      <c r="L6" s="27"/>
      <c r="M6" s="28"/>
      <c r="N6" s="29"/>
      <c r="O6" s="28"/>
      <c r="P6" s="28"/>
      <c r="Q6" s="28"/>
      <c r="R6" s="29"/>
    </row>
    <row r="7" spans="2:22" ht="25.8">
      <c r="B7" s="46" t="s">
        <v>149</v>
      </c>
      <c r="C7" s="58"/>
      <c r="D7" s="58"/>
      <c r="E7" s="58"/>
      <c r="F7" s="48"/>
      <c r="G7" s="46" t="s">
        <v>150</v>
      </c>
      <c r="H7" s="47"/>
      <c r="I7" s="47"/>
      <c r="J7" s="47"/>
      <c r="K7" s="48"/>
      <c r="L7" s="46" t="s">
        <v>153</v>
      </c>
      <c r="M7" s="47"/>
      <c r="N7" s="48"/>
      <c r="O7" s="46" t="s">
        <v>151</v>
      </c>
      <c r="P7" s="47"/>
      <c r="Q7" s="47"/>
      <c r="R7" s="48"/>
    </row>
    <row r="8" spans="2:22">
      <c r="B8" s="30"/>
      <c r="C8" s="31"/>
      <c r="D8" s="31"/>
      <c r="E8" s="31"/>
      <c r="F8" s="32"/>
      <c r="G8" s="30"/>
      <c r="H8" s="31"/>
      <c r="I8" s="31"/>
      <c r="J8" s="31"/>
      <c r="K8" s="32"/>
      <c r="L8" s="30"/>
      <c r="M8" s="31"/>
      <c r="N8" s="32"/>
      <c r="O8" s="31"/>
      <c r="P8" s="31"/>
      <c r="Q8" s="31"/>
      <c r="R8" s="32"/>
      <c r="V8" s="25"/>
    </row>
    <row r="9" spans="2:22" ht="14.4" customHeight="1">
      <c r="B9" s="49" t="str">
        <f>TEXT(GETPIVOTDATA("Sum of Completed_Sales",PivotTables!$P$20)/100000,"₹0.00")&amp;" L"</f>
        <v>₹15.62 L</v>
      </c>
      <c r="C9" s="59"/>
      <c r="D9" s="59"/>
      <c r="E9" s="59"/>
      <c r="F9" s="51"/>
      <c r="G9" s="49" t="str">
        <f>TEXT(GETPIVOTDATA("Sum of Completed_Profit",PivotTables!$P$20)/100000,"₹0.00")&amp;" L"</f>
        <v>₹4.41 L</v>
      </c>
      <c r="H9" s="50"/>
      <c r="I9" s="50"/>
      <c r="J9" s="50"/>
      <c r="K9" s="51"/>
      <c r="L9" s="52">
        <f>GETPIVOTDATA("Count of Order_Id",PivotTables!$P$20)</f>
        <v>30</v>
      </c>
      <c r="M9" s="53"/>
      <c r="N9" s="54"/>
      <c r="O9" s="55">
        <f>IFERROR(GETPIVOTDATA("Sum of Completed_Profit",PivotTables!$P$20)/GETPIVOTDATA("Sum of Completed_Sales",PivotTables!$P$20),0)</f>
        <v>0.28220230473751601</v>
      </c>
      <c r="P9" s="56"/>
      <c r="Q9" s="56"/>
      <c r="R9" s="57"/>
    </row>
    <row r="10" spans="2:22" ht="14.4" customHeight="1">
      <c r="B10" s="49"/>
      <c r="C10" s="59"/>
      <c r="D10" s="59"/>
      <c r="E10" s="59"/>
      <c r="F10" s="51"/>
      <c r="G10" s="49"/>
      <c r="H10" s="50"/>
      <c r="I10" s="50"/>
      <c r="J10" s="50"/>
      <c r="K10" s="51"/>
      <c r="L10" s="52"/>
      <c r="M10" s="53"/>
      <c r="N10" s="54"/>
      <c r="O10" s="55"/>
      <c r="P10" s="56"/>
      <c r="Q10" s="56"/>
      <c r="R10" s="57"/>
    </row>
    <row r="11" spans="2:22" ht="14.4" customHeight="1">
      <c r="B11" s="33"/>
      <c r="C11" s="34"/>
      <c r="D11" s="34"/>
      <c r="E11" s="34"/>
      <c r="F11" s="35"/>
      <c r="G11" s="33"/>
      <c r="H11" s="34"/>
      <c r="I11" s="34"/>
      <c r="J11" s="34"/>
      <c r="K11" s="35"/>
      <c r="L11" s="33"/>
      <c r="M11" s="34"/>
      <c r="N11" s="35"/>
      <c r="O11" s="34"/>
      <c r="P11" s="34"/>
      <c r="Q11" s="34"/>
      <c r="R11" s="35"/>
    </row>
    <row r="12" spans="2:22" ht="14.4" customHeight="1">
      <c r="B12" s="60" t="s">
        <v>160</v>
      </c>
      <c r="C12" s="61"/>
      <c r="D12" s="61"/>
      <c r="E12" s="61"/>
      <c r="F12" s="61"/>
      <c r="G12" s="61"/>
      <c r="H12" s="61"/>
      <c r="I12" s="61"/>
      <c r="J12" s="61"/>
      <c r="K12" s="61"/>
      <c r="L12" s="61"/>
      <c r="M12" s="61"/>
      <c r="N12" s="61"/>
      <c r="O12" s="61"/>
      <c r="P12" s="61"/>
      <c r="Q12" s="61"/>
      <c r="R12" s="62"/>
    </row>
    <row r="13" spans="2:22" ht="14.4" customHeight="1">
      <c r="B13" s="63" t="s">
        <v>154</v>
      </c>
      <c r="C13" s="64"/>
      <c r="D13" s="64"/>
      <c r="E13" s="64"/>
      <c r="F13" s="63" t="s">
        <v>155</v>
      </c>
      <c r="G13" s="64"/>
      <c r="H13" s="64"/>
      <c r="I13" s="64"/>
      <c r="J13" s="63" t="s">
        <v>156</v>
      </c>
      <c r="K13" s="64"/>
      <c r="L13" s="64"/>
      <c r="M13" s="63" t="s">
        <v>153</v>
      </c>
      <c r="N13" s="64"/>
      <c r="O13" s="63" t="s">
        <v>157</v>
      </c>
      <c r="P13" s="67"/>
      <c r="Q13" s="67"/>
      <c r="R13" s="68"/>
    </row>
    <row r="14" spans="2:22" ht="27.6" customHeight="1">
      <c r="B14" s="65"/>
      <c r="C14" s="66"/>
      <c r="D14" s="66"/>
      <c r="E14" s="66"/>
      <c r="F14" s="65"/>
      <c r="G14" s="66"/>
      <c r="H14" s="66"/>
      <c r="I14" s="66"/>
      <c r="J14" s="65"/>
      <c r="K14" s="66"/>
      <c r="L14" s="66"/>
      <c r="M14" s="65"/>
      <c r="N14" s="66"/>
      <c r="O14" s="69"/>
      <c r="P14" s="70"/>
      <c r="Q14" s="70"/>
      <c r="R14" s="71"/>
    </row>
    <row r="15" spans="2:22">
      <c r="B15" s="31"/>
      <c r="C15" s="31"/>
      <c r="D15" s="31"/>
      <c r="E15" s="31"/>
      <c r="F15" s="31"/>
      <c r="G15" s="31"/>
      <c r="H15" s="31"/>
      <c r="I15" s="31"/>
      <c r="J15" s="31"/>
      <c r="K15" s="31"/>
      <c r="L15" s="31"/>
      <c r="M15" s="31"/>
      <c r="N15" s="31"/>
      <c r="O15" s="31"/>
      <c r="P15" s="31"/>
      <c r="Q15" s="31"/>
      <c r="R15" s="31"/>
    </row>
    <row r="16" spans="2:22">
      <c r="B16" s="31"/>
      <c r="C16" s="31"/>
      <c r="D16" s="31"/>
      <c r="E16" s="31"/>
      <c r="F16" s="31"/>
      <c r="G16" s="31"/>
      <c r="H16" s="31"/>
      <c r="I16" s="31"/>
      <c r="J16" s="31"/>
      <c r="K16" s="31"/>
      <c r="L16" s="31"/>
      <c r="M16" s="31"/>
      <c r="N16" s="31"/>
      <c r="O16" s="31"/>
      <c r="P16" s="31"/>
      <c r="Q16" s="31"/>
      <c r="R16" s="31"/>
    </row>
    <row r="17" spans="2:25">
      <c r="B17" s="31"/>
      <c r="C17" s="31"/>
      <c r="D17" s="31"/>
      <c r="E17" s="31"/>
      <c r="F17" s="31"/>
      <c r="G17" s="31"/>
      <c r="H17" s="31"/>
      <c r="I17" s="31"/>
      <c r="J17" s="31"/>
      <c r="K17" s="31"/>
      <c r="L17" s="31"/>
      <c r="M17" s="31"/>
      <c r="N17" s="31"/>
      <c r="O17" s="31"/>
      <c r="P17" s="31"/>
      <c r="Q17" s="31"/>
      <c r="R17" s="31"/>
    </row>
    <row r="18" spans="2:25">
      <c r="B18" s="31"/>
      <c r="C18" s="31"/>
      <c r="D18" s="31"/>
      <c r="E18" s="31"/>
      <c r="F18" s="31"/>
      <c r="G18" s="31"/>
      <c r="H18" s="31"/>
      <c r="I18" s="31"/>
      <c r="J18" s="31"/>
      <c r="K18" s="31"/>
      <c r="L18" s="31"/>
      <c r="M18" s="31"/>
      <c r="N18" s="31"/>
      <c r="O18" s="31"/>
      <c r="P18" s="31"/>
      <c r="Q18" s="31"/>
      <c r="R18" s="31"/>
    </row>
    <row r="19" spans="2:25">
      <c r="B19" s="31"/>
      <c r="C19" s="31"/>
      <c r="D19" s="31"/>
      <c r="E19" s="31"/>
      <c r="F19" s="31"/>
      <c r="G19" s="31"/>
      <c r="H19" s="31"/>
      <c r="I19" s="31"/>
      <c r="J19" s="31"/>
      <c r="K19" s="31"/>
      <c r="L19" s="31"/>
      <c r="M19" s="31"/>
      <c r="N19" s="31"/>
      <c r="O19" s="31"/>
      <c r="P19" s="31"/>
      <c r="Q19" s="31"/>
      <c r="R19" s="31"/>
    </row>
    <row r="20" spans="2:25">
      <c r="B20" s="31"/>
      <c r="C20" s="31"/>
      <c r="D20" s="31"/>
      <c r="E20" s="31"/>
      <c r="F20" s="31"/>
      <c r="G20" s="31"/>
      <c r="H20" s="31"/>
      <c r="I20" s="31"/>
      <c r="J20" s="31"/>
      <c r="K20" s="31"/>
      <c r="L20" s="31"/>
      <c r="M20" s="31"/>
      <c r="N20" s="31"/>
      <c r="O20" s="31"/>
      <c r="P20" s="31"/>
      <c r="Q20" s="31"/>
      <c r="R20" s="31"/>
    </row>
    <row r="21" spans="2:25">
      <c r="B21" s="31"/>
      <c r="C21" s="31"/>
      <c r="D21" s="31"/>
      <c r="E21" s="31"/>
      <c r="F21" s="31"/>
      <c r="G21" s="31"/>
      <c r="H21" s="31"/>
      <c r="I21" s="31"/>
      <c r="J21" s="31"/>
      <c r="K21" s="31"/>
      <c r="L21" s="31"/>
      <c r="M21" s="31"/>
      <c r="N21" s="31"/>
      <c r="O21" s="31"/>
      <c r="P21" s="31"/>
      <c r="Q21" s="31"/>
      <c r="R21" s="31"/>
    </row>
    <row r="22" spans="2:25">
      <c r="B22" s="31"/>
      <c r="C22" s="31"/>
      <c r="D22" s="31"/>
      <c r="E22" s="31"/>
      <c r="F22" s="31"/>
      <c r="G22" s="31"/>
      <c r="H22" s="31"/>
      <c r="I22" s="31"/>
      <c r="J22" s="31"/>
      <c r="K22" s="31"/>
      <c r="L22" s="31"/>
      <c r="M22" s="31"/>
      <c r="N22" s="31"/>
      <c r="O22" s="31"/>
      <c r="P22" s="31"/>
      <c r="Q22" s="31"/>
      <c r="R22" s="31"/>
    </row>
    <row r="23" spans="2:25">
      <c r="B23" s="31"/>
      <c r="C23" s="31"/>
      <c r="D23" s="31"/>
      <c r="E23" s="31"/>
      <c r="F23" s="31"/>
      <c r="G23" s="31"/>
      <c r="H23" s="31"/>
      <c r="I23" s="31"/>
      <c r="J23" s="31"/>
      <c r="K23" s="31"/>
      <c r="L23" s="31"/>
      <c r="M23" s="31"/>
      <c r="N23" s="31"/>
      <c r="O23" s="31"/>
      <c r="P23" s="31"/>
      <c r="Q23" s="31"/>
      <c r="R23" s="31"/>
    </row>
    <row r="24" spans="2:25">
      <c r="B24" s="31"/>
      <c r="C24" s="31"/>
      <c r="D24" s="31"/>
      <c r="E24" s="31"/>
      <c r="F24" s="31"/>
      <c r="G24" s="31"/>
      <c r="H24" s="31"/>
      <c r="I24" s="31"/>
      <c r="J24" s="31"/>
      <c r="K24" s="31"/>
      <c r="L24" s="31"/>
      <c r="M24" s="31"/>
      <c r="N24" s="31"/>
      <c r="O24" s="31"/>
      <c r="P24" s="31"/>
      <c r="Q24" s="31"/>
      <c r="R24" s="31"/>
    </row>
    <row r="25" spans="2:25">
      <c r="B25" s="31"/>
      <c r="C25" s="31"/>
      <c r="D25" s="31"/>
      <c r="E25" s="31"/>
      <c r="F25" s="31"/>
      <c r="G25" s="31"/>
      <c r="H25" s="31"/>
      <c r="I25" s="31"/>
      <c r="J25" s="31"/>
      <c r="K25" s="31"/>
      <c r="L25" s="31"/>
      <c r="M25" s="31"/>
      <c r="N25" s="31"/>
      <c r="O25" s="31"/>
      <c r="P25" s="31"/>
      <c r="Q25" s="31"/>
      <c r="R25" s="31"/>
    </row>
    <row r="26" spans="2:25">
      <c r="B26" s="31"/>
      <c r="C26" s="31"/>
      <c r="D26" s="31"/>
      <c r="E26" s="31"/>
      <c r="F26" s="31"/>
      <c r="G26" s="31"/>
      <c r="H26" s="31"/>
      <c r="I26" s="31"/>
      <c r="J26" s="31"/>
      <c r="K26" s="31"/>
      <c r="L26" s="31"/>
      <c r="M26" s="31"/>
      <c r="N26" s="31"/>
      <c r="O26" s="31"/>
      <c r="P26" s="31"/>
      <c r="Q26" s="31"/>
      <c r="R26" s="31"/>
    </row>
    <row r="27" spans="2:25">
      <c r="B27" s="31"/>
      <c r="C27" s="31"/>
      <c r="D27" s="31"/>
      <c r="E27" s="31"/>
      <c r="F27" s="31"/>
      <c r="G27" s="31"/>
      <c r="H27" s="31"/>
      <c r="I27" s="31"/>
      <c r="J27" s="31"/>
      <c r="K27" s="31"/>
      <c r="L27" s="31"/>
      <c r="M27" s="31"/>
      <c r="N27" s="31"/>
      <c r="O27" s="31"/>
      <c r="P27" s="31"/>
      <c r="Q27" s="31"/>
      <c r="R27" s="31"/>
    </row>
    <row r="28" spans="2:25">
      <c r="B28" s="31"/>
      <c r="C28" s="31"/>
      <c r="D28" s="31"/>
      <c r="E28" s="31"/>
      <c r="F28" s="31"/>
      <c r="G28" s="31"/>
      <c r="H28" s="31"/>
      <c r="I28" s="31"/>
      <c r="J28" s="31"/>
      <c r="K28" s="31"/>
      <c r="L28" s="31"/>
      <c r="M28" s="31"/>
      <c r="N28" s="31"/>
      <c r="O28" s="31"/>
      <c r="P28" s="31"/>
      <c r="Q28" s="31"/>
      <c r="R28" s="31"/>
    </row>
    <row r="29" spans="2:25">
      <c r="B29" s="31"/>
      <c r="C29" s="31"/>
      <c r="D29" s="31"/>
      <c r="E29" s="31"/>
      <c r="F29" s="31"/>
      <c r="G29" s="31"/>
      <c r="H29" s="31"/>
      <c r="I29" s="31"/>
      <c r="J29" s="31"/>
      <c r="K29" s="31"/>
      <c r="L29" s="31"/>
      <c r="M29" s="31"/>
      <c r="N29" s="31"/>
      <c r="O29" s="31"/>
      <c r="P29" s="31"/>
      <c r="Q29" s="31"/>
      <c r="R29" s="31"/>
      <c r="U29" s="22"/>
      <c r="V29" s="22"/>
      <c r="W29" s="22"/>
      <c r="X29" s="22"/>
      <c r="Y29" s="22"/>
    </row>
    <row r="30" spans="2:25">
      <c r="B30" s="31"/>
      <c r="C30" s="31"/>
      <c r="D30" s="31"/>
      <c r="E30" s="31"/>
      <c r="F30" s="31"/>
      <c r="G30" s="31"/>
      <c r="H30" s="31"/>
      <c r="I30" s="31"/>
      <c r="J30" s="31"/>
      <c r="K30" s="31"/>
      <c r="L30" s="31"/>
      <c r="M30" s="31"/>
      <c r="N30" s="31"/>
      <c r="O30" s="31"/>
      <c r="P30" s="31"/>
      <c r="Q30" s="31"/>
      <c r="R30" s="31"/>
      <c r="U30" s="21"/>
      <c r="V30" s="23"/>
    </row>
    <row r="31" spans="2:25">
      <c r="B31" s="31"/>
      <c r="C31" s="31"/>
      <c r="D31" s="31"/>
      <c r="E31" s="31"/>
      <c r="F31" s="31"/>
      <c r="G31" s="31"/>
      <c r="H31" s="31"/>
      <c r="I31" s="31"/>
      <c r="J31" s="31"/>
      <c r="K31" s="31"/>
      <c r="L31" s="31"/>
      <c r="M31" s="31"/>
      <c r="N31" s="31"/>
      <c r="O31" s="31"/>
      <c r="P31" s="31"/>
      <c r="Q31" s="31"/>
      <c r="R31" s="31"/>
      <c r="U31" s="21"/>
    </row>
    <row r="32" spans="2:25">
      <c r="B32" s="31"/>
      <c r="C32" s="31"/>
      <c r="D32" s="31"/>
      <c r="E32" s="31"/>
      <c r="F32" s="31"/>
      <c r="G32" s="31"/>
      <c r="H32" s="31"/>
      <c r="I32" s="31"/>
      <c r="J32" s="31"/>
      <c r="K32" s="31"/>
      <c r="L32" s="31"/>
      <c r="M32" s="31"/>
      <c r="N32" s="31"/>
      <c r="O32" s="31"/>
      <c r="P32" s="31"/>
      <c r="Q32" s="31"/>
      <c r="R32" s="31"/>
      <c r="U32" s="21"/>
    </row>
    <row r="33" spans="2:21">
      <c r="B33" s="31"/>
      <c r="C33" s="31"/>
      <c r="D33" s="31"/>
      <c r="E33" s="31"/>
      <c r="F33" s="31"/>
      <c r="G33" s="31"/>
      <c r="H33" s="31"/>
      <c r="I33" s="31"/>
      <c r="J33" s="31"/>
      <c r="K33" s="31"/>
      <c r="L33" s="31"/>
      <c r="M33" s="31"/>
      <c r="N33" s="31"/>
      <c r="O33" s="31"/>
      <c r="P33" s="31"/>
      <c r="Q33" s="31"/>
      <c r="R33" s="31"/>
      <c r="U33" s="21"/>
    </row>
    <row r="34" spans="2:21">
      <c r="B34" s="31"/>
      <c r="C34" s="31"/>
      <c r="D34" s="31"/>
      <c r="E34" s="31"/>
      <c r="F34" s="31"/>
      <c r="G34" s="31"/>
      <c r="H34" s="31"/>
      <c r="I34" s="31"/>
      <c r="J34" s="31"/>
      <c r="K34" s="31"/>
      <c r="L34" s="31"/>
      <c r="M34" s="31"/>
      <c r="N34" s="31"/>
      <c r="O34" s="31"/>
      <c r="P34" s="31"/>
      <c r="Q34" s="31"/>
      <c r="R34" s="31"/>
    </row>
    <row r="35" spans="2:21">
      <c r="B35" s="31"/>
      <c r="C35" s="31"/>
      <c r="D35" s="31"/>
      <c r="E35" s="31"/>
      <c r="F35" s="31"/>
      <c r="G35" s="31"/>
      <c r="H35" s="31"/>
      <c r="I35" s="31"/>
      <c r="J35" s="31"/>
      <c r="K35" s="31"/>
      <c r="L35" s="31"/>
      <c r="M35" s="31"/>
      <c r="N35" s="31"/>
      <c r="O35" s="31"/>
      <c r="P35" s="31"/>
      <c r="Q35" s="31"/>
      <c r="R35" s="31"/>
    </row>
    <row r="36" spans="2:21">
      <c r="B36" s="31"/>
      <c r="C36" s="31"/>
      <c r="D36" s="31"/>
      <c r="E36" s="31"/>
      <c r="F36" s="31"/>
      <c r="G36" s="31"/>
      <c r="H36" s="31"/>
      <c r="I36" s="31"/>
      <c r="J36" s="31"/>
      <c r="K36" s="31"/>
      <c r="L36" s="31"/>
      <c r="M36" s="31"/>
      <c r="N36" s="31"/>
      <c r="O36" s="31"/>
      <c r="P36" s="31"/>
      <c r="Q36" s="31"/>
      <c r="R36" s="31"/>
    </row>
    <row r="37" spans="2:21">
      <c r="B37" s="31"/>
      <c r="C37" s="31"/>
      <c r="D37" s="31"/>
      <c r="E37" s="31"/>
      <c r="F37" s="31"/>
      <c r="G37" s="31"/>
      <c r="H37" s="31"/>
      <c r="I37" s="31"/>
      <c r="J37" s="31"/>
      <c r="K37" s="31"/>
      <c r="L37" s="31"/>
      <c r="M37" s="31"/>
      <c r="N37" s="31"/>
      <c r="O37" s="31"/>
      <c r="P37" s="31"/>
      <c r="Q37" s="31"/>
      <c r="R37" s="31"/>
    </row>
    <row r="38" spans="2:21">
      <c r="B38" s="31"/>
      <c r="C38" s="31"/>
      <c r="D38" s="31"/>
      <c r="E38" s="31"/>
      <c r="F38" s="31"/>
      <c r="G38" s="31"/>
      <c r="H38" s="31"/>
      <c r="I38" s="31"/>
      <c r="J38" s="31"/>
      <c r="K38" s="31"/>
      <c r="L38" s="31"/>
      <c r="M38" s="31"/>
      <c r="N38" s="31"/>
      <c r="O38" s="31"/>
      <c r="P38" s="31"/>
      <c r="Q38" s="31"/>
      <c r="R38" s="31"/>
    </row>
    <row r="39" spans="2:21">
      <c r="B39" s="31"/>
      <c r="C39" s="31"/>
      <c r="D39" s="31"/>
      <c r="E39" s="31"/>
      <c r="F39" s="31"/>
      <c r="G39" s="31"/>
      <c r="H39" s="31"/>
      <c r="I39" s="31"/>
      <c r="J39" s="31"/>
      <c r="K39" s="31"/>
      <c r="L39" s="31"/>
      <c r="M39" s="31"/>
      <c r="N39" s="31"/>
      <c r="O39" s="31"/>
      <c r="P39" s="31"/>
      <c r="Q39" s="31"/>
      <c r="R39" s="31"/>
    </row>
    <row r="40" spans="2:21">
      <c r="B40" s="31"/>
      <c r="C40" s="31"/>
      <c r="D40" s="31"/>
      <c r="E40" s="31"/>
      <c r="F40" s="31"/>
      <c r="G40" s="31"/>
      <c r="H40" s="31"/>
      <c r="I40" s="31"/>
      <c r="J40" s="31"/>
      <c r="K40" s="31"/>
      <c r="L40" s="31"/>
      <c r="M40" s="31"/>
      <c r="N40" s="31"/>
      <c r="O40" s="31"/>
      <c r="P40" s="31"/>
      <c r="Q40" s="31"/>
      <c r="R40" s="31"/>
    </row>
    <row r="41" spans="2:21">
      <c r="B41" s="31"/>
      <c r="C41" s="31"/>
      <c r="D41" s="31"/>
      <c r="E41" s="31"/>
      <c r="F41" s="31"/>
      <c r="G41" s="31"/>
      <c r="H41" s="31"/>
      <c r="I41" s="31"/>
      <c r="J41" s="31"/>
      <c r="K41" s="31"/>
      <c r="L41" s="31"/>
      <c r="M41" s="31"/>
      <c r="N41" s="31"/>
      <c r="O41" s="31"/>
      <c r="P41" s="31"/>
      <c r="Q41" s="31"/>
      <c r="R41" s="31"/>
    </row>
    <row r="42" spans="2:21">
      <c r="B42" s="31"/>
      <c r="C42" s="31"/>
      <c r="D42" s="31"/>
      <c r="E42" s="31"/>
      <c r="F42" s="31"/>
      <c r="G42" s="31"/>
      <c r="H42" s="31"/>
      <c r="I42" s="31"/>
      <c r="J42" s="31"/>
      <c r="K42" s="31"/>
      <c r="L42" s="31"/>
      <c r="M42" s="31"/>
      <c r="N42" s="31"/>
      <c r="O42" s="31"/>
      <c r="P42" s="31"/>
      <c r="Q42" s="31"/>
      <c r="R42" s="31"/>
    </row>
    <row r="43" spans="2:21">
      <c r="B43" s="31"/>
      <c r="C43" s="31"/>
      <c r="D43" s="31"/>
      <c r="E43" s="31"/>
      <c r="F43" s="31"/>
      <c r="G43" s="31"/>
      <c r="H43" s="31"/>
      <c r="I43" s="31"/>
      <c r="J43" s="31"/>
      <c r="K43" s="31"/>
      <c r="L43" s="31"/>
      <c r="M43" s="31"/>
      <c r="N43" s="31"/>
      <c r="O43" s="31"/>
      <c r="P43" s="31"/>
      <c r="Q43" s="31"/>
      <c r="R43" s="31"/>
    </row>
    <row r="44" spans="2:21">
      <c r="B44" s="31"/>
      <c r="C44" s="31"/>
      <c r="D44" s="31"/>
      <c r="E44" s="31"/>
      <c r="F44" s="31"/>
      <c r="G44" s="31"/>
      <c r="H44" s="31"/>
      <c r="I44" s="31"/>
      <c r="J44" s="31"/>
      <c r="K44" s="31"/>
      <c r="L44" s="31"/>
      <c r="M44" s="31"/>
      <c r="N44" s="31"/>
      <c r="O44" s="31"/>
      <c r="P44" s="31"/>
      <c r="Q44" s="31"/>
      <c r="R44" s="31"/>
    </row>
    <row r="45" spans="2:21">
      <c r="B45" s="31"/>
      <c r="C45" s="31"/>
      <c r="D45" s="31"/>
      <c r="E45" s="31"/>
      <c r="F45" s="31"/>
      <c r="G45" s="31"/>
      <c r="H45" s="31"/>
      <c r="I45" s="31"/>
      <c r="J45" s="31"/>
      <c r="K45" s="31"/>
      <c r="L45" s="31"/>
      <c r="M45" s="31"/>
      <c r="N45" s="31"/>
      <c r="O45" s="31"/>
      <c r="P45" s="31"/>
      <c r="Q45" s="31"/>
      <c r="R45" s="31"/>
    </row>
    <row r="46" spans="2:21">
      <c r="B46" s="31"/>
      <c r="C46" s="31"/>
      <c r="D46" s="31"/>
      <c r="E46" s="31"/>
      <c r="F46" s="31"/>
      <c r="G46" s="31"/>
      <c r="H46" s="31"/>
      <c r="I46" s="31"/>
      <c r="J46" s="31"/>
      <c r="K46" s="31"/>
      <c r="L46" s="31"/>
      <c r="M46" s="31"/>
      <c r="N46" s="31"/>
      <c r="O46" s="31"/>
      <c r="P46" s="31"/>
      <c r="Q46" s="31"/>
      <c r="R46" s="31"/>
    </row>
    <row r="47" spans="2:21">
      <c r="B47" s="31"/>
      <c r="C47" s="31"/>
      <c r="D47" s="31"/>
      <c r="E47" s="31"/>
      <c r="F47" s="31"/>
      <c r="G47" s="31"/>
      <c r="H47" s="31"/>
      <c r="I47" s="31"/>
      <c r="J47" s="31"/>
      <c r="K47" s="31"/>
      <c r="L47" s="31"/>
      <c r="M47" s="31"/>
      <c r="N47" s="31"/>
      <c r="O47" s="31"/>
      <c r="P47" s="31"/>
      <c r="Q47" s="31"/>
      <c r="R47" s="31"/>
    </row>
    <row r="48" spans="2:21">
      <c r="B48" s="31"/>
      <c r="C48" s="31"/>
      <c r="D48" s="31"/>
      <c r="E48" s="31"/>
      <c r="F48" s="31"/>
      <c r="G48" s="31"/>
      <c r="H48" s="31"/>
      <c r="I48" s="31"/>
      <c r="J48" s="31"/>
      <c r="K48" s="31"/>
      <c r="L48" s="31"/>
      <c r="M48" s="31"/>
      <c r="N48" s="31"/>
      <c r="O48" s="31"/>
      <c r="P48" s="31"/>
      <c r="Q48" s="31"/>
      <c r="R48" s="31"/>
    </row>
    <row r="49" spans="2:18">
      <c r="B49" s="31"/>
      <c r="C49" s="31"/>
      <c r="D49" s="31"/>
      <c r="E49" s="31"/>
      <c r="F49" s="31"/>
      <c r="G49" s="31"/>
      <c r="H49" s="31"/>
      <c r="I49" s="31"/>
      <c r="J49" s="31"/>
      <c r="K49" s="31"/>
      <c r="L49" s="31"/>
      <c r="M49" s="31"/>
      <c r="N49" s="31"/>
      <c r="O49" s="31"/>
      <c r="P49" s="31"/>
      <c r="Q49" s="31"/>
      <c r="R49" s="31"/>
    </row>
    <row r="50" spans="2:18">
      <c r="B50" s="31"/>
      <c r="C50" s="31"/>
      <c r="D50" s="31"/>
      <c r="E50" s="31"/>
      <c r="F50" s="31"/>
      <c r="G50" s="31"/>
      <c r="H50" s="31"/>
      <c r="I50" s="31"/>
      <c r="J50" s="31"/>
      <c r="K50" s="31"/>
      <c r="L50" s="31"/>
      <c r="M50" s="31"/>
      <c r="N50" s="31"/>
      <c r="O50" s="31"/>
      <c r="P50" s="31"/>
      <c r="Q50" s="31"/>
      <c r="R50" s="31"/>
    </row>
    <row r="51" spans="2:18">
      <c r="B51" s="31"/>
      <c r="C51" s="31"/>
      <c r="D51" s="31"/>
      <c r="E51" s="31"/>
      <c r="F51" s="31"/>
      <c r="G51" s="31"/>
      <c r="H51" s="31"/>
      <c r="I51" s="31"/>
      <c r="J51" s="31"/>
      <c r="K51" s="31"/>
      <c r="L51" s="31"/>
      <c r="M51" s="31"/>
      <c r="N51" s="31"/>
      <c r="O51" s="31"/>
      <c r="P51" s="31"/>
      <c r="Q51" s="31"/>
      <c r="R51" s="31"/>
    </row>
    <row r="52" spans="2:18">
      <c r="B52" s="31"/>
      <c r="C52" s="31"/>
      <c r="D52" s="31"/>
      <c r="E52" s="31"/>
      <c r="F52" s="31"/>
      <c r="G52" s="31"/>
      <c r="H52" s="31"/>
      <c r="I52" s="31"/>
      <c r="J52" s="31"/>
      <c r="K52" s="31"/>
      <c r="L52" s="31"/>
      <c r="M52" s="31"/>
      <c r="N52" s="31"/>
      <c r="O52" s="31"/>
      <c r="P52" s="31"/>
      <c r="Q52" s="31"/>
      <c r="R52" s="31"/>
    </row>
    <row r="53" spans="2:18">
      <c r="B53" s="31"/>
      <c r="C53" s="31"/>
      <c r="D53" s="31"/>
      <c r="E53" s="31"/>
      <c r="F53" s="31"/>
      <c r="G53" s="31"/>
      <c r="H53" s="31"/>
      <c r="I53" s="31"/>
      <c r="J53" s="31"/>
      <c r="K53" s="31"/>
      <c r="L53" s="31"/>
      <c r="M53" s="31"/>
      <c r="N53" s="31"/>
      <c r="O53" s="31"/>
      <c r="P53" s="31"/>
      <c r="Q53" s="31"/>
      <c r="R53" s="31"/>
    </row>
    <row r="54" spans="2:18">
      <c r="B54" s="31"/>
      <c r="C54" s="31"/>
      <c r="D54" s="31"/>
      <c r="E54" s="31"/>
      <c r="F54" s="31"/>
      <c r="G54" s="31"/>
      <c r="H54" s="31"/>
      <c r="I54" s="31"/>
      <c r="J54" s="31"/>
      <c r="K54" s="31"/>
      <c r="L54" s="31"/>
      <c r="M54" s="31"/>
      <c r="N54" s="31"/>
      <c r="O54" s="31"/>
      <c r="P54" s="31"/>
      <c r="Q54" s="31"/>
      <c r="R54" s="31"/>
    </row>
    <row r="55" spans="2:18">
      <c r="B55" s="31"/>
      <c r="C55" s="31"/>
      <c r="D55" s="31"/>
      <c r="E55" s="31"/>
      <c r="F55" s="31"/>
      <c r="G55" s="31"/>
      <c r="H55" s="31"/>
      <c r="I55" s="31"/>
      <c r="J55" s="31"/>
      <c r="K55" s="31"/>
      <c r="L55" s="31"/>
      <c r="M55" s="31"/>
      <c r="N55" s="31"/>
      <c r="O55" s="31"/>
      <c r="P55" s="31"/>
      <c r="Q55" s="31"/>
      <c r="R55" s="31"/>
    </row>
    <row r="56" spans="2:18">
      <c r="B56" s="31"/>
      <c r="C56" s="31"/>
      <c r="D56" s="31"/>
      <c r="E56" s="31"/>
      <c r="F56" s="31"/>
      <c r="G56" s="31"/>
      <c r="H56" s="31"/>
      <c r="I56" s="31"/>
      <c r="J56" s="31"/>
      <c r="K56" s="31"/>
      <c r="L56" s="31"/>
      <c r="M56" s="31"/>
      <c r="N56" s="31"/>
      <c r="O56" s="31"/>
      <c r="P56" s="31"/>
      <c r="Q56" s="31"/>
      <c r="R56" s="31"/>
    </row>
    <row r="57" spans="2:18">
      <c r="B57" s="31"/>
      <c r="C57" s="31"/>
      <c r="D57" s="31"/>
      <c r="E57" s="31"/>
      <c r="F57" s="31"/>
      <c r="G57" s="31"/>
      <c r="H57" s="31"/>
      <c r="I57" s="31"/>
      <c r="J57" s="31"/>
      <c r="K57" s="31"/>
      <c r="L57" s="31"/>
      <c r="M57" s="31"/>
      <c r="N57" s="31"/>
      <c r="O57" s="31"/>
      <c r="P57" s="31"/>
      <c r="Q57" s="31"/>
      <c r="R57" s="31"/>
    </row>
    <row r="58" spans="2:18">
      <c r="B58" s="31"/>
      <c r="C58" s="31"/>
      <c r="D58" s="31"/>
      <c r="E58" s="31"/>
      <c r="F58" s="31"/>
      <c r="G58" s="31"/>
      <c r="H58" s="31"/>
      <c r="I58" s="31"/>
      <c r="J58" s="31"/>
      <c r="K58" s="31"/>
      <c r="L58" s="31"/>
      <c r="M58" s="31"/>
      <c r="N58" s="31"/>
      <c r="O58" s="31"/>
      <c r="P58" s="31"/>
      <c r="Q58" s="31"/>
      <c r="R58" s="31"/>
    </row>
    <row r="59" spans="2:18">
      <c r="B59" s="31"/>
      <c r="C59" s="31"/>
      <c r="D59" s="31"/>
      <c r="E59" s="31"/>
      <c r="F59" s="31"/>
      <c r="G59" s="31"/>
      <c r="H59" s="31"/>
      <c r="I59" s="31"/>
      <c r="J59" s="31"/>
      <c r="K59" s="31"/>
      <c r="L59" s="31"/>
      <c r="M59" s="31"/>
      <c r="N59" s="31"/>
      <c r="O59" s="31"/>
      <c r="P59" s="31"/>
      <c r="Q59" s="31"/>
      <c r="R59" s="31"/>
    </row>
    <row r="60" spans="2:18">
      <c r="B60" s="31"/>
      <c r="C60" s="31"/>
      <c r="D60" s="31"/>
      <c r="E60" s="31"/>
      <c r="F60" s="31"/>
      <c r="G60" s="31"/>
      <c r="H60" s="31"/>
      <c r="I60" s="31"/>
      <c r="J60" s="31"/>
      <c r="K60" s="31"/>
      <c r="L60" s="31"/>
      <c r="M60" s="31"/>
      <c r="N60" s="31"/>
      <c r="O60" s="31"/>
      <c r="P60" s="31"/>
      <c r="Q60" s="31"/>
      <c r="R60" s="31"/>
    </row>
    <row r="61" spans="2:18">
      <c r="B61" s="31"/>
      <c r="C61" s="31"/>
      <c r="D61" s="31"/>
      <c r="E61" s="31"/>
      <c r="F61" s="31"/>
      <c r="G61" s="31"/>
      <c r="H61" s="31"/>
      <c r="I61" s="31"/>
      <c r="J61" s="31"/>
      <c r="K61" s="31"/>
      <c r="L61" s="31"/>
      <c r="M61" s="31"/>
      <c r="N61" s="31"/>
      <c r="O61" s="31"/>
      <c r="P61" s="31"/>
      <c r="Q61" s="31"/>
      <c r="R61" s="31"/>
    </row>
    <row r="62" spans="2:18">
      <c r="B62" s="31"/>
      <c r="C62" s="31"/>
      <c r="D62" s="31"/>
      <c r="E62" s="31"/>
      <c r="F62" s="31"/>
      <c r="G62" s="31"/>
      <c r="H62" s="31"/>
      <c r="I62" s="31"/>
      <c r="J62" s="31"/>
      <c r="K62" s="31"/>
      <c r="L62" s="31"/>
      <c r="M62" s="31"/>
      <c r="N62" s="31"/>
      <c r="O62" s="31"/>
      <c r="P62" s="31"/>
      <c r="Q62" s="31"/>
      <c r="R62" s="31"/>
    </row>
    <row r="63" spans="2:18">
      <c r="B63" s="31"/>
      <c r="C63" s="31"/>
      <c r="D63" s="31"/>
      <c r="E63" s="31"/>
      <c r="F63" s="31"/>
      <c r="G63" s="31"/>
      <c r="H63" s="31"/>
      <c r="I63" s="31"/>
      <c r="J63" s="31"/>
      <c r="K63" s="31"/>
      <c r="L63" s="31"/>
      <c r="M63" s="31"/>
      <c r="N63" s="31"/>
      <c r="O63" s="31"/>
      <c r="P63" s="31"/>
      <c r="Q63" s="31"/>
      <c r="R63" s="31"/>
    </row>
    <row r="64" spans="2:18">
      <c r="B64" s="31"/>
      <c r="C64" s="31"/>
      <c r="D64" s="31"/>
      <c r="E64" s="31"/>
      <c r="F64" s="31"/>
      <c r="G64" s="31"/>
      <c r="H64" s="31"/>
      <c r="I64" s="31"/>
      <c r="J64" s="31"/>
      <c r="K64" s="31"/>
      <c r="L64" s="31"/>
      <c r="M64" s="31"/>
      <c r="N64" s="31"/>
      <c r="O64" s="31"/>
      <c r="P64" s="31"/>
      <c r="Q64" s="31"/>
      <c r="R64" s="31"/>
    </row>
    <row r="65" spans="2:18">
      <c r="B65" s="31"/>
      <c r="C65" s="31"/>
      <c r="D65" s="31"/>
      <c r="E65" s="31"/>
      <c r="F65" s="31"/>
      <c r="G65" s="31"/>
      <c r="H65" s="31"/>
      <c r="I65" s="31"/>
      <c r="J65" s="31"/>
      <c r="K65" s="31"/>
      <c r="L65" s="31"/>
      <c r="M65" s="31"/>
      <c r="N65" s="31"/>
      <c r="O65" s="31"/>
      <c r="P65" s="31"/>
      <c r="Q65" s="31"/>
      <c r="R65" s="31"/>
    </row>
    <row r="66" spans="2:18">
      <c r="B66" s="31"/>
      <c r="C66" s="31"/>
      <c r="D66" s="31"/>
      <c r="E66" s="31"/>
      <c r="F66" s="31"/>
      <c r="G66" s="31"/>
      <c r="H66" s="31"/>
      <c r="I66" s="31"/>
      <c r="J66" s="31"/>
      <c r="K66" s="31"/>
      <c r="L66" s="31"/>
      <c r="M66" s="31"/>
      <c r="N66" s="31"/>
      <c r="O66" s="31"/>
      <c r="P66" s="31"/>
      <c r="Q66" s="31"/>
      <c r="R66" s="31"/>
    </row>
    <row r="67" spans="2:18">
      <c r="B67" s="31"/>
      <c r="C67" s="31"/>
      <c r="D67" s="31"/>
      <c r="E67" s="31"/>
      <c r="F67" s="31"/>
      <c r="G67" s="31"/>
      <c r="H67" s="31"/>
      <c r="I67" s="31"/>
      <c r="J67" s="31"/>
      <c r="K67" s="31"/>
      <c r="L67" s="31"/>
      <c r="M67" s="31"/>
      <c r="N67" s="31"/>
      <c r="O67" s="31"/>
      <c r="P67" s="31"/>
      <c r="Q67" s="31"/>
      <c r="R67" s="31"/>
    </row>
    <row r="68" spans="2:18">
      <c r="B68" s="31"/>
      <c r="C68" s="31"/>
      <c r="D68" s="31"/>
      <c r="E68" s="31"/>
      <c r="F68" s="31"/>
      <c r="G68" s="31"/>
      <c r="H68" s="31"/>
      <c r="I68" s="31"/>
      <c r="J68" s="31"/>
      <c r="K68" s="31"/>
      <c r="L68" s="31"/>
      <c r="M68" s="31"/>
      <c r="N68" s="31"/>
      <c r="O68" s="31"/>
      <c r="P68" s="31"/>
      <c r="Q68" s="31"/>
      <c r="R68" s="31"/>
    </row>
    <row r="69" spans="2:18">
      <c r="B69" s="31"/>
      <c r="C69" s="31"/>
      <c r="D69" s="31"/>
      <c r="E69" s="31"/>
      <c r="F69" s="31"/>
      <c r="G69" s="31"/>
      <c r="H69" s="31"/>
      <c r="I69" s="31"/>
      <c r="J69" s="31"/>
      <c r="K69" s="31"/>
      <c r="L69" s="31"/>
      <c r="M69" s="31"/>
      <c r="N69" s="31"/>
      <c r="O69" s="31"/>
      <c r="P69" s="31"/>
      <c r="Q69" s="31"/>
      <c r="R69" s="31"/>
    </row>
    <row r="70" spans="2:18">
      <c r="B70" s="31"/>
      <c r="C70" s="31"/>
      <c r="D70" s="31"/>
      <c r="E70" s="31"/>
      <c r="F70" s="31"/>
      <c r="G70" s="31"/>
      <c r="H70" s="31"/>
      <c r="I70" s="31"/>
      <c r="J70" s="31"/>
      <c r="K70" s="31"/>
      <c r="L70" s="31"/>
      <c r="M70" s="31"/>
      <c r="N70" s="31"/>
      <c r="O70" s="31"/>
      <c r="P70" s="31"/>
      <c r="Q70" s="31"/>
      <c r="R70" s="31"/>
    </row>
    <row r="71" spans="2:18">
      <c r="B71" s="31"/>
      <c r="C71" s="31"/>
      <c r="D71" s="31"/>
      <c r="E71" s="31"/>
      <c r="F71" s="31"/>
      <c r="G71" s="31"/>
      <c r="H71" s="31"/>
      <c r="I71" s="31"/>
      <c r="J71" s="31"/>
      <c r="K71" s="31"/>
      <c r="L71" s="31"/>
      <c r="M71" s="31"/>
      <c r="N71" s="31"/>
      <c r="O71" s="31"/>
      <c r="P71" s="31"/>
      <c r="Q71" s="31"/>
      <c r="R71" s="31"/>
    </row>
    <row r="72" spans="2:18">
      <c r="B72" s="31"/>
      <c r="C72" s="31"/>
      <c r="D72" s="31"/>
      <c r="E72" s="31"/>
      <c r="F72" s="31"/>
      <c r="G72" s="31"/>
      <c r="H72" s="31"/>
      <c r="I72" s="31"/>
      <c r="J72" s="31"/>
      <c r="K72" s="31"/>
      <c r="L72" s="31"/>
      <c r="M72" s="31"/>
      <c r="N72" s="31"/>
      <c r="O72" s="31"/>
      <c r="P72" s="31"/>
      <c r="Q72" s="31"/>
      <c r="R72" s="31"/>
    </row>
    <row r="73" spans="2:18">
      <c r="B73" s="31"/>
      <c r="C73" s="31"/>
      <c r="D73" s="31"/>
      <c r="E73" s="31"/>
      <c r="F73" s="31"/>
      <c r="G73" s="31"/>
      <c r="H73" s="31"/>
      <c r="I73" s="31"/>
      <c r="J73" s="31"/>
      <c r="K73" s="31"/>
      <c r="L73" s="31"/>
      <c r="M73" s="31"/>
      <c r="N73" s="31"/>
      <c r="O73" s="31"/>
      <c r="P73" s="31"/>
      <c r="Q73" s="31"/>
      <c r="R73" s="31"/>
    </row>
    <row r="74" spans="2:18">
      <c r="B74" s="31"/>
      <c r="C74" s="31"/>
      <c r="D74" s="31"/>
      <c r="E74" s="31"/>
      <c r="F74" s="31"/>
      <c r="G74" s="31"/>
      <c r="H74" s="31"/>
      <c r="I74" s="31"/>
      <c r="J74" s="31"/>
      <c r="K74" s="31"/>
      <c r="L74" s="31"/>
      <c r="M74" s="31"/>
      <c r="N74" s="31"/>
      <c r="O74" s="31"/>
      <c r="P74" s="31"/>
      <c r="Q74" s="31"/>
      <c r="R74" s="31"/>
    </row>
    <row r="75" spans="2:18">
      <c r="B75" s="31"/>
      <c r="C75" s="31"/>
      <c r="D75" s="31"/>
      <c r="E75" s="31"/>
      <c r="F75" s="31"/>
      <c r="G75" s="31"/>
      <c r="H75" s="31"/>
      <c r="I75" s="31"/>
      <c r="J75" s="31"/>
      <c r="K75" s="31"/>
      <c r="L75" s="31"/>
      <c r="M75" s="31"/>
      <c r="N75" s="31"/>
      <c r="O75" s="31"/>
      <c r="P75" s="31"/>
      <c r="Q75" s="31"/>
      <c r="R75" s="31"/>
    </row>
    <row r="76" spans="2:18">
      <c r="B76" s="31"/>
      <c r="C76" s="31"/>
      <c r="D76" s="31"/>
      <c r="E76" s="31"/>
      <c r="F76" s="31"/>
      <c r="G76" s="31"/>
      <c r="H76" s="31"/>
      <c r="I76" s="31"/>
      <c r="J76" s="31"/>
      <c r="K76" s="31"/>
      <c r="L76" s="31"/>
      <c r="M76" s="31"/>
      <c r="N76" s="31"/>
      <c r="O76" s="31"/>
      <c r="P76" s="31"/>
      <c r="Q76" s="31"/>
      <c r="R76" s="31"/>
    </row>
    <row r="77" spans="2:18">
      <c r="B77" s="31"/>
      <c r="C77" s="31"/>
      <c r="D77" s="31"/>
      <c r="E77" s="31"/>
      <c r="F77" s="31"/>
      <c r="G77" s="31"/>
      <c r="H77" s="31"/>
      <c r="I77" s="31"/>
      <c r="J77" s="31"/>
      <c r="K77" s="31"/>
      <c r="L77" s="31"/>
      <c r="M77" s="31"/>
      <c r="N77" s="31"/>
      <c r="O77" s="31"/>
      <c r="P77" s="31"/>
      <c r="Q77" s="31"/>
      <c r="R77" s="31"/>
    </row>
    <row r="78" spans="2:18">
      <c r="B78" s="31"/>
      <c r="C78" s="31"/>
      <c r="D78" s="31"/>
      <c r="E78" s="31"/>
      <c r="F78" s="31"/>
      <c r="G78" s="31"/>
      <c r="H78" s="31"/>
      <c r="I78" s="31"/>
      <c r="J78" s="31"/>
      <c r="K78" s="31"/>
      <c r="L78" s="31"/>
      <c r="M78" s="31"/>
      <c r="N78" s="31"/>
      <c r="O78" s="31"/>
      <c r="P78" s="31"/>
      <c r="Q78" s="31"/>
      <c r="R78" s="31"/>
    </row>
    <row r="79" spans="2:18">
      <c r="B79" s="31"/>
      <c r="C79" s="31"/>
      <c r="D79" s="31"/>
      <c r="E79" s="31"/>
      <c r="F79" s="31"/>
      <c r="G79" s="31"/>
      <c r="H79" s="31"/>
      <c r="I79" s="31"/>
      <c r="J79" s="31"/>
      <c r="K79" s="31"/>
      <c r="L79" s="31"/>
      <c r="M79" s="31"/>
      <c r="N79" s="31"/>
      <c r="O79" s="31"/>
      <c r="P79" s="31"/>
      <c r="Q79" s="31"/>
      <c r="R79" s="31"/>
    </row>
    <row r="80" spans="2:18">
      <c r="B80" s="31"/>
      <c r="C80" s="31"/>
      <c r="D80" s="31"/>
      <c r="E80" s="31"/>
      <c r="F80" s="31"/>
      <c r="G80" s="31"/>
      <c r="H80" s="31"/>
      <c r="I80" s="31"/>
      <c r="J80" s="31"/>
      <c r="K80" s="31"/>
      <c r="L80" s="31"/>
      <c r="M80" s="31"/>
      <c r="N80" s="31"/>
      <c r="O80" s="31"/>
      <c r="P80" s="31"/>
      <c r="Q80" s="31"/>
      <c r="R80" s="31"/>
    </row>
    <row r="81" spans="2:18">
      <c r="B81" s="31"/>
      <c r="C81" s="31"/>
      <c r="D81" s="31"/>
      <c r="E81" s="31"/>
      <c r="F81" s="31"/>
      <c r="G81" s="31"/>
      <c r="H81" s="31"/>
      <c r="I81" s="31"/>
      <c r="J81" s="31"/>
      <c r="K81" s="31"/>
      <c r="L81" s="31"/>
      <c r="M81" s="31"/>
      <c r="N81" s="31"/>
      <c r="O81" s="31"/>
      <c r="P81" s="31"/>
      <c r="Q81" s="31"/>
      <c r="R81" s="31"/>
    </row>
    <row r="82" spans="2:18">
      <c r="B82" s="31"/>
      <c r="C82" s="31"/>
      <c r="D82" s="31"/>
      <c r="E82" s="31"/>
      <c r="F82" s="31"/>
      <c r="G82" s="31"/>
      <c r="H82" s="31"/>
      <c r="I82" s="31"/>
      <c r="J82" s="31"/>
      <c r="K82" s="31"/>
      <c r="L82" s="31"/>
      <c r="M82" s="31"/>
      <c r="N82" s="31"/>
      <c r="O82" s="31"/>
      <c r="P82" s="31"/>
      <c r="Q82" s="31"/>
      <c r="R82" s="31"/>
    </row>
    <row r="83" spans="2:18">
      <c r="B83" s="31"/>
      <c r="C83" s="31"/>
      <c r="D83" s="31"/>
      <c r="E83" s="31"/>
      <c r="F83" s="31"/>
      <c r="G83" s="31"/>
      <c r="H83" s="31"/>
      <c r="I83" s="31"/>
      <c r="J83" s="31"/>
      <c r="K83" s="31"/>
      <c r="L83" s="31"/>
      <c r="M83" s="31"/>
      <c r="N83" s="31"/>
      <c r="O83" s="31"/>
      <c r="P83" s="31"/>
      <c r="Q83" s="31"/>
      <c r="R83" s="31"/>
    </row>
    <row r="84" spans="2:18">
      <c r="B84" s="31"/>
      <c r="C84" s="31"/>
      <c r="D84" s="31"/>
      <c r="E84" s="31"/>
      <c r="F84" s="31"/>
      <c r="G84" s="31"/>
      <c r="H84" s="31"/>
      <c r="I84" s="31"/>
      <c r="J84" s="31"/>
      <c r="K84" s="31"/>
      <c r="L84" s="31"/>
      <c r="M84" s="31"/>
      <c r="N84" s="31"/>
      <c r="O84" s="31"/>
      <c r="P84" s="31"/>
      <c r="Q84" s="31"/>
      <c r="R84" s="31"/>
    </row>
    <row r="85" spans="2:18">
      <c r="B85" s="31"/>
      <c r="C85" s="31"/>
      <c r="D85" s="31"/>
      <c r="E85" s="31"/>
      <c r="F85" s="31"/>
      <c r="G85" s="31"/>
      <c r="H85" s="31"/>
      <c r="I85" s="31"/>
      <c r="J85" s="31"/>
      <c r="K85" s="31"/>
      <c r="L85" s="31"/>
      <c r="M85" s="31"/>
      <c r="N85" s="31"/>
      <c r="O85" s="31"/>
      <c r="P85" s="31"/>
      <c r="Q85" s="31"/>
      <c r="R85" s="31"/>
    </row>
    <row r="86" spans="2:18">
      <c r="B86" s="31"/>
      <c r="C86" s="31"/>
      <c r="D86" s="31"/>
      <c r="E86" s="31"/>
      <c r="F86" s="31"/>
      <c r="G86" s="31"/>
      <c r="H86" s="31"/>
      <c r="I86" s="31"/>
      <c r="J86" s="31"/>
      <c r="K86" s="31"/>
      <c r="L86" s="31"/>
      <c r="M86" s="31"/>
      <c r="N86" s="31"/>
      <c r="O86" s="31"/>
      <c r="P86" s="31"/>
      <c r="Q86" s="31"/>
      <c r="R86" s="31"/>
    </row>
    <row r="87" spans="2:18">
      <c r="B87" s="31"/>
      <c r="C87" s="31"/>
      <c r="D87" s="31"/>
      <c r="E87" s="31"/>
      <c r="F87" s="31"/>
      <c r="G87" s="31"/>
      <c r="H87" s="31"/>
      <c r="I87" s="31"/>
      <c r="J87" s="31"/>
      <c r="K87" s="31"/>
      <c r="L87" s="31"/>
      <c r="M87" s="31"/>
      <c r="N87" s="31"/>
      <c r="O87" s="31"/>
      <c r="P87" s="31"/>
      <c r="Q87" s="31"/>
      <c r="R87" s="31"/>
    </row>
    <row r="88" spans="2:18">
      <c r="B88" s="31"/>
      <c r="C88" s="31"/>
      <c r="D88" s="31"/>
      <c r="E88" s="31"/>
      <c r="F88" s="31"/>
      <c r="G88" s="31"/>
      <c r="H88" s="31"/>
      <c r="I88" s="31"/>
      <c r="J88" s="31"/>
      <c r="K88" s="31"/>
      <c r="L88" s="31"/>
      <c r="M88" s="31"/>
      <c r="N88" s="31"/>
      <c r="O88" s="31"/>
      <c r="P88" s="31"/>
      <c r="Q88" s="31"/>
      <c r="R88" s="31"/>
    </row>
    <row r="89" spans="2:18">
      <c r="B89" s="31"/>
      <c r="C89" s="31"/>
      <c r="D89" s="31"/>
      <c r="E89" s="31"/>
      <c r="F89" s="31"/>
      <c r="G89" s="31"/>
      <c r="H89" s="31"/>
      <c r="I89" s="31"/>
      <c r="J89" s="31"/>
      <c r="K89" s="31"/>
      <c r="L89" s="31"/>
      <c r="M89" s="31"/>
      <c r="N89" s="31"/>
      <c r="O89" s="31"/>
      <c r="P89" s="31"/>
      <c r="Q89" s="31"/>
      <c r="R89" s="31"/>
    </row>
    <row r="90" spans="2:18">
      <c r="B90" s="31"/>
      <c r="C90" s="31"/>
      <c r="D90" s="31"/>
      <c r="E90" s="31"/>
      <c r="F90" s="31"/>
      <c r="G90" s="31"/>
      <c r="H90" s="31"/>
      <c r="I90" s="31"/>
      <c r="J90" s="31"/>
      <c r="K90" s="31"/>
      <c r="L90" s="31"/>
      <c r="M90" s="31"/>
      <c r="N90" s="31"/>
      <c r="O90" s="31"/>
      <c r="P90" s="31"/>
      <c r="Q90" s="31"/>
      <c r="R90" s="31"/>
    </row>
    <row r="91" spans="2:18">
      <c r="B91" s="31"/>
      <c r="C91" s="31"/>
      <c r="D91" s="31"/>
      <c r="E91" s="31"/>
      <c r="F91" s="31"/>
      <c r="G91" s="31"/>
      <c r="H91" s="31"/>
      <c r="I91" s="31"/>
      <c r="J91" s="31"/>
      <c r="K91" s="31"/>
      <c r="L91" s="31"/>
      <c r="M91" s="31"/>
      <c r="N91" s="31"/>
      <c r="O91" s="31"/>
      <c r="P91" s="31"/>
      <c r="Q91" s="31"/>
      <c r="R91" s="31"/>
    </row>
    <row r="92" spans="2:18">
      <c r="B92" s="31"/>
      <c r="C92" s="31"/>
      <c r="D92" s="31"/>
      <c r="E92" s="31"/>
      <c r="F92" s="31"/>
      <c r="G92" s="31"/>
      <c r="H92" s="31"/>
      <c r="I92" s="31"/>
      <c r="J92" s="31"/>
      <c r="K92" s="31"/>
      <c r="L92" s="31"/>
      <c r="M92" s="31"/>
      <c r="N92" s="31"/>
      <c r="O92" s="31"/>
      <c r="P92" s="31"/>
      <c r="Q92" s="31"/>
      <c r="R92" s="31"/>
    </row>
    <row r="93" spans="2:18">
      <c r="B93" s="31"/>
      <c r="C93" s="31"/>
      <c r="D93" s="31"/>
      <c r="E93" s="31"/>
      <c r="F93" s="31"/>
      <c r="G93" s="31"/>
      <c r="H93" s="31"/>
      <c r="I93" s="31"/>
      <c r="J93" s="31"/>
      <c r="K93" s="31"/>
      <c r="L93" s="31"/>
      <c r="M93" s="31"/>
      <c r="N93" s="31"/>
      <c r="O93" s="31"/>
      <c r="P93" s="31"/>
      <c r="Q93" s="31"/>
      <c r="R93" s="31"/>
    </row>
    <row r="94" spans="2:18">
      <c r="B94" s="31"/>
      <c r="C94" s="31"/>
      <c r="D94" s="31"/>
      <c r="E94" s="31"/>
      <c r="F94" s="31"/>
      <c r="G94" s="31"/>
      <c r="H94" s="31"/>
      <c r="I94" s="31"/>
      <c r="J94" s="31"/>
      <c r="K94" s="31"/>
      <c r="L94" s="31"/>
      <c r="M94" s="31"/>
      <c r="N94" s="31"/>
      <c r="O94" s="31"/>
      <c r="P94" s="31"/>
      <c r="Q94" s="31"/>
      <c r="R94" s="31"/>
    </row>
    <row r="95" spans="2:18">
      <c r="B95" s="31"/>
      <c r="C95" s="31"/>
      <c r="D95" s="31"/>
      <c r="E95" s="31"/>
      <c r="F95" s="31"/>
      <c r="G95" s="31"/>
      <c r="H95" s="31"/>
      <c r="I95" s="31"/>
      <c r="J95" s="31"/>
      <c r="K95" s="31"/>
      <c r="L95" s="31"/>
      <c r="M95" s="31"/>
      <c r="N95" s="31"/>
      <c r="O95" s="31"/>
      <c r="P95" s="31"/>
      <c r="Q95" s="31"/>
      <c r="R95" s="31"/>
    </row>
    <row r="96" spans="2:18">
      <c r="B96" s="31"/>
      <c r="C96" s="31"/>
      <c r="D96" s="31"/>
      <c r="E96" s="31"/>
      <c r="F96" s="31"/>
      <c r="G96" s="31"/>
      <c r="H96" s="31"/>
      <c r="I96" s="31"/>
      <c r="J96" s="31"/>
      <c r="K96" s="31"/>
      <c r="L96" s="31"/>
      <c r="M96" s="31"/>
      <c r="N96" s="31"/>
      <c r="O96" s="31"/>
      <c r="P96" s="31"/>
      <c r="Q96" s="31"/>
      <c r="R96" s="31"/>
    </row>
  </sheetData>
  <mergeCells count="18">
    <mergeCell ref="B12:R12"/>
    <mergeCell ref="B3:P3"/>
    <mergeCell ref="B13:E14"/>
    <mergeCell ref="F13:I14"/>
    <mergeCell ref="J13:L14"/>
    <mergeCell ref="M13:N14"/>
    <mergeCell ref="O13:R14"/>
    <mergeCell ref="B9:F10"/>
    <mergeCell ref="G9:K10"/>
    <mergeCell ref="B2:R2"/>
    <mergeCell ref="B4:R4"/>
    <mergeCell ref="L9:N10"/>
    <mergeCell ref="O9:R10"/>
    <mergeCell ref="B5:R5"/>
    <mergeCell ref="B7:F7"/>
    <mergeCell ref="G7:K7"/>
    <mergeCell ref="L7:N7"/>
    <mergeCell ref="O7:R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Refresh_MIS_Report">
                <anchor moveWithCells="1">
                  <from>
                    <xdr:col>16</xdr:col>
                    <xdr:colOff>83820</xdr:colOff>
                    <xdr:row>2</xdr:row>
                    <xdr:rowOff>83820</xdr:rowOff>
                  </from>
                  <to>
                    <xdr:col>17</xdr:col>
                    <xdr:colOff>15240</xdr:colOff>
                    <xdr:row>3</xdr:row>
                    <xdr:rowOff>15240</xdr:rowOff>
                  </to>
                </anchor>
              </controlPr>
            </control>
          </mc:Choice>
        </mc:AlternateContent>
      </controls>
    </mc:Choice>
  </mc:AlternateContent>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DA97C1-D61A-4A61-8898-A213BBE66341}">
  <sheetPr codeName="Sheet3"/>
  <dimension ref="A1"/>
  <sheetViews>
    <sheetView workbookViewId="0"/>
  </sheetViews>
  <sheetFormatPr defaultRowHeight="14.4"/>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E4AB30-04A3-419B-89E3-9B8B69C25622}">
  <sheetPr codeName="Sheet4"/>
  <dimension ref="A1"/>
  <sheetViews>
    <sheetView workbookViewId="0"/>
  </sheetViews>
  <sheetFormatPr defaultRowHeight="14.4"/>
  <sheetData>
    <row r="1" spans="1:1">
      <c r="A1" t="s">
        <v>108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1E4B84-7976-409A-B6EC-5D8F9799ED37}">
  <sheetPr codeName="Sheet5"/>
  <dimension ref="A1:G32"/>
  <sheetViews>
    <sheetView zoomScale="122" zoomScaleNormal="122" workbookViewId="0">
      <selection activeCell="E2" sqref="E2:E32"/>
    </sheetView>
  </sheetViews>
  <sheetFormatPr defaultRowHeight="14.4"/>
  <cols>
    <col min="1" max="1" width="10.5546875" bestFit="1" customWidth="1"/>
    <col min="2" max="2" width="10.33203125" bestFit="1" customWidth="1"/>
    <col min="3" max="3" width="16.44140625" bestFit="1" customWidth="1"/>
    <col min="4" max="4" width="14.44140625" bestFit="1" customWidth="1"/>
    <col min="5" max="5" width="13.109375" bestFit="1" customWidth="1"/>
    <col min="7" max="7" width="11.88671875" bestFit="1" customWidth="1"/>
  </cols>
  <sheetData>
    <row r="1" spans="1:7">
      <c r="A1" s="5" t="s">
        <v>109</v>
      </c>
      <c r="B1" s="5" t="s">
        <v>110</v>
      </c>
      <c r="C1" s="5" t="s">
        <v>111</v>
      </c>
      <c r="D1" s="5" t="s">
        <v>112</v>
      </c>
      <c r="E1" s="5" t="s">
        <v>115</v>
      </c>
      <c r="F1" s="5" t="s">
        <v>113</v>
      </c>
      <c r="G1" s="5" t="s">
        <v>114</v>
      </c>
    </row>
    <row r="2" spans="1:7">
      <c r="A2" s="6">
        <v>46023</v>
      </c>
      <c r="B2">
        <f>YEAR(tblCalendar[[#This Row],[DATE]])</f>
        <v>2026</v>
      </c>
      <c r="C2">
        <f>MONTH(tblCalendar[[#This Row],[DATE]])</f>
        <v>1</v>
      </c>
      <c r="D2" s="6" t="str">
        <f>TEXT(tblCalendar[[#This Row],[DATE]],"mmmm")</f>
        <v>January</v>
      </c>
      <c r="E2" s="6" t="str">
        <f>TEXT(tblCalendar[[#This Row],[DATE]],"mmm-yyyy")</f>
        <v>Jan-2026</v>
      </c>
      <c r="F2" s="6"/>
      <c r="G2" s="6"/>
    </row>
    <row r="3" spans="1:7">
      <c r="A3" s="6">
        <v>46024</v>
      </c>
      <c r="B3">
        <f>YEAR(tblCalendar[[#This Row],[DATE]])</f>
        <v>2026</v>
      </c>
      <c r="C3">
        <f>MONTH(tblCalendar[[#This Row],[DATE]])</f>
        <v>1</v>
      </c>
      <c r="D3" s="6" t="str">
        <f>TEXT(tblCalendar[[#This Row],[DATE]],"mmmm")</f>
        <v>January</v>
      </c>
      <c r="E3" s="6" t="str">
        <f>TEXT(tblCalendar[[#This Row],[DATE]],"mmm-yyyy")</f>
        <v>Jan-2026</v>
      </c>
      <c r="F3" s="6"/>
      <c r="G3" s="6"/>
    </row>
    <row r="4" spans="1:7">
      <c r="A4" s="6">
        <v>46025</v>
      </c>
      <c r="B4">
        <f>YEAR(tblCalendar[[#This Row],[DATE]])</f>
        <v>2026</v>
      </c>
      <c r="C4">
        <f>MONTH(tblCalendar[[#This Row],[DATE]])</f>
        <v>1</v>
      </c>
      <c r="D4" s="6" t="str">
        <f>TEXT(tblCalendar[[#This Row],[DATE]],"mmmm")</f>
        <v>January</v>
      </c>
      <c r="E4" s="6" t="str">
        <f>TEXT(tblCalendar[[#This Row],[DATE]],"mmm-yyyy")</f>
        <v>Jan-2026</v>
      </c>
      <c r="F4" s="6"/>
      <c r="G4" s="6"/>
    </row>
    <row r="5" spans="1:7">
      <c r="A5" s="6">
        <v>46026</v>
      </c>
      <c r="B5">
        <f>YEAR(tblCalendar[[#This Row],[DATE]])</f>
        <v>2026</v>
      </c>
      <c r="C5">
        <f>MONTH(tblCalendar[[#This Row],[DATE]])</f>
        <v>1</v>
      </c>
      <c r="D5" s="6" t="str">
        <f>TEXT(tblCalendar[[#This Row],[DATE]],"mmmm")</f>
        <v>January</v>
      </c>
      <c r="E5" s="6" t="str">
        <f>TEXT(tblCalendar[[#This Row],[DATE]],"mmm-yyyy")</f>
        <v>Jan-2026</v>
      </c>
      <c r="F5" s="6"/>
      <c r="G5" s="6"/>
    </row>
    <row r="6" spans="1:7">
      <c r="A6" s="6">
        <v>46027</v>
      </c>
      <c r="B6">
        <f>YEAR(tblCalendar[[#This Row],[DATE]])</f>
        <v>2026</v>
      </c>
      <c r="C6">
        <f>MONTH(tblCalendar[[#This Row],[DATE]])</f>
        <v>1</v>
      </c>
      <c r="D6" s="6" t="str">
        <f>TEXT(tblCalendar[[#This Row],[DATE]],"mmmm")</f>
        <v>January</v>
      </c>
      <c r="E6" s="6" t="str">
        <f>TEXT(tblCalendar[[#This Row],[DATE]],"mmm-yyyy")</f>
        <v>Jan-2026</v>
      </c>
      <c r="F6" s="6"/>
      <c r="G6" s="6"/>
    </row>
    <row r="7" spans="1:7">
      <c r="A7" s="6">
        <v>46028</v>
      </c>
      <c r="B7">
        <f>YEAR(tblCalendar[[#This Row],[DATE]])</f>
        <v>2026</v>
      </c>
      <c r="C7">
        <f>MONTH(tblCalendar[[#This Row],[DATE]])</f>
        <v>1</v>
      </c>
      <c r="D7" s="6" t="str">
        <f>TEXT(tblCalendar[[#This Row],[DATE]],"mmmm")</f>
        <v>January</v>
      </c>
      <c r="E7" s="6" t="str">
        <f>TEXT(tblCalendar[[#This Row],[DATE]],"mmm-yyyy")</f>
        <v>Jan-2026</v>
      </c>
      <c r="F7" s="6"/>
      <c r="G7" s="6"/>
    </row>
    <row r="8" spans="1:7">
      <c r="A8" s="6">
        <v>46029</v>
      </c>
      <c r="B8">
        <f>YEAR(tblCalendar[[#This Row],[DATE]])</f>
        <v>2026</v>
      </c>
      <c r="C8">
        <f>MONTH(tblCalendar[[#This Row],[DATE]])</f>
        <v>1</v>
      </c>
      <c r="D8" s="6" t="str">
        <f>TEXT(tblCalendar[[#This Row],[DATE]],"mmmm")</f>
        <v>January</v>
      </c>
      <c r="E8" s="6" t="str">
        <f>TEXT(tblCalendar[[#This Row],[DATE]],"mmm-yyyy")</f>
        <v>Jan-2026</v>
      </c>
      <c r="F8" s="6"/>
      <c r="G8" s="6"/>
    </row>
    <row r="9" spans="1:7">
      <c r="A9" s="6">
        <v>46030</v>
      </c>
      <c r="B9">
        <f>YEAR(tblCalendar[[#This Row],[DATE]])</f>
        <v>2026</v>
      </c>
      <c r="C9">
        <f>MONTH(tblCalendar[[#This Row],[DATE]])</f>
        <v>1</v>
      </c>
      <c r="D9" s="6" t="str">
        <f>TEXT(tblCalendar[[#This Row],[DATE]],"mmmm")</f>
        <v>January</v>
      </c>
      <c r="E9" s="6" t="str">
        <f>TEXT(tblCalendar[[#This Row],[DATE]],"mmm-yyyy")</f>
        <v>Jan-2026</v>
      </c>
      <c r="F9" s="6"/>
      <c r="G9" s="6"/>
    </row>
    <row r="10" spans="1:7">
      <c r="A10" s="6">
        <v>46031</v>
      </c>
      <c r="B10">
        <f>YEAR(tblCalendar[[#This Row],[DATE]])</f>
        <v>2026</v>
      </c>
      <c r="C10">
        <f>MONTH(tblCalendar[[#This Row],[DATE]])</f>
        <v>1</v>
      </c>
      <c r="D10" s="6" t="str">
        <f>TEXT(tblCalendar[[#This Row],[DATE]],"mmmm")</f>
        <v>January</v>
      </c>
      <c r="E10" s="6" t="str">
        <f>TEXT(tblCalendar[[#This Row],[DATE]],"mmm-yyyy")</f>
        <v>Jan-2026</v>
      </c>
      <c r="F10" s="6"/>
      <c r="G10" s="6"/>
    </row>
    <row r="11" spans="1:7">
      <c r="A11" s="6">
        <v>46032</v>
      </c>
      <c r="B11">
        <f>YEAR(tblCalendar[[#This Row],[DATE]])</f>
        <v>2026</v>
      </c>
      <c r="C11">
        <f>MONTH(tblCalendar[[#This Row],[DATE]])</f>
        <v>1</v>
      </c>
      <c r="D11" s="6" t="str">
        <f>TEXT(tblCalendar[[#This Row],[DATE]],"mmmm")</f>
        <v>January</v>
      </c>
      <c r="E11" s="6" t="str">
        <f>TEXT(tblCalendar[[#This Row],[DATE]],"mmm-yyyy")</f>
        <v>Jan-2026</v>
      </c>
      <c r="F11" s="6"/>
      <c r="G11" s="6"/>
    </row>
    <row r="12" spans="1:7">
      <c r="A12" s="6">
        <v>46033</v>
      </c>
      <c r="B12">
        <f>YEAR(tblCalendar[[#This Row],[DATE]])</f>
        <v>2026</v>
      </c>
      <c r="C12">
        <f>MONTH(tblCalendar[[#This Row],[DATE]])</f>
        <v>1</v>
      </c>
      <c r="D12" s="6" t="str">
        <f>TEXT(tblCalendar[[#This Row],[DATE]],"mmmm")</f>
        <v>January</v>
      </c>
      <c r="E12" s="6" t="str">
        <f>TEXT(tblCalendar[[#This Row],[DATE]],"mmm-yyyy")</f>
        <v>Jan-2026</v>
      </c>
      <c r="F12" s="6"/>
      <c r="G12" s="6"/>
    </row>
    <row r="13" spans="1:7">
      <c r="A13" s="6">
        <v>46034</v>
      </c>
      <c r="B13">
        <f>YEAR(tblCalendar[[#This Row],[DATE]])</f>
        <v>2026</v>
      </c>
      <c r="C13">
        <f>MONTH(tblCalendar[[#This Row],[DATE]])</f>
        <v>1</v>
      </c>
      <c r="D13" s="6" t="str">
        <f>TEXT(tblCalendar[[#This Row],[DATE]],"mmmm")</f>
        <v>January</v>
      </c>
      <c r="E13" s="6" t="str">
        <f>TEXT(tblCalendar[[#This Row],[DATE]],"mmm-yyyy")</f>
        <v>Jan-2026</v>
      </c>
      <c r="F13" s="6"/>
      <c r="G13" s="6"/>
    </row>
    <row r="14" spans="1:7">
      <c r="A14" s="6">
        <v>46035</v>
      </c>
      <c r="B14">
        <f>YEAR(tblCalendar[[#This Row],[DATE]])</f>
        <v>2026</v>
      </c>
      <c r="C14">
        <f>MONTH(tblCalendar[[#This Row],[DATE]])</f>
        <v>1</v>
      </c>
      <c r="D14" s="6" t="str">
        <f>TEXT(tblCalendar[[#This Row],[DATE]],"mmmm")</f>
        <v>January</v>
      </c>
      <c r="E14" s="6" t="str">
        <f>TEXT(tblCalendar[[#This Row],[DATE]],"mmm-yyyy")</f>
        <v>Jan-2026</v>
      </c>
      <c r="F14" s="6"/>
      <c r="G14" s="6"/>
    </row>
    <row r="15" spans="1:7">
      <c r="A15" s="6">
        <v>46036</v>
      </c>
      <c r="B15">
        <f>YEAR(tblCalendar[[#This Row],[DATE]])</f>
        <v>2026</v>
      </c>
      <c r="C15">
        <f>MONTH(tblCalendar[[#This Row],[DATE]])</f>
        <v>1</v>
      </c>
      <c r="D15" s="6" t="str">
        <f>TEXT(tblCalendar[[#This Row],[DATE]],"mmmm")</f>
        <v>January</v>
      </c>
      <c r="E15" s="6" t="str">
        <f>TEXT(tblCalendar[[#This Row],[DATE]],"mmm-yyyy")</f>
        <v>Jan-2026</v>
      </c>
      <c r="F15" s="6"/>
      <c r="G15" s="6"/>
    </row>
    <row r="16" spans="1:7">
      <c r="A16" s="6">
        <v>46037</v>
      </c>
      <c r="B16">
        <f>YEAR(tblCalendar[[#This Row],[DATE]])</f>
        <v>2026</v>
      </c>
      <c r="C16">
        <f>MONTH(tblCalendar[[#This Row],[DATE]])</f>
        <v>1</v>
      </c>
      <c r="D16" s="6" t="str">
        <f>TEXT(tblCalendar[[#This Row],[DATE]],"mmmm")</f>
        <v>January</v>
      </c>
      <c r="E16" s="6" t="str">
        <f>TEXT(tblCalendar[[#This Row],[DATE]],"mmm-yyyy")</f>
        <v>Jan-2026</v>
      </c>
      <c r="F16" s="6"/>
      <c r="G16" s="6"/>
    </row>
    <row r="17" spans="1:7">
      <c r="A17" s="6">
        <v>46038</v>
      </c>
      <c r="B17">
        <f>YEAR(tblCalendar[[#This Row],[DATE]])</f>
        <v>2026</v>
      </c>
      <c r="C17">
        <f>MONTH(tblCalendar[[#This Row],[DATE]])</f>
        <v>1</v>
      </c>
      <c r="D17" s="6" t="str">
        <f>TEXT(tblCalendar[[#This Row],[DATE]],"mmmm")</f>
        <v>January</v>
      </c>
      <c r="E17" s="6" t="str">
        <f>TEXT(tblCalendar[[#This Row],[DATE]],"mmm-yyyy")</f>
        <v>Jan-2026</v>
      </c>
      <c r="F17" s="6"/>
      <c r="G17" s="6"/>
    </row>
    <row r="18" spans="1:7">
      <c r="A18" s="6">
        <v>46039</v>
      </c>
      <c r="B18">
        <f>YEAR(tblCalendar[[#This Row],[DATE]])</f>
        <v>2026</v>
      </c>
      <c r="C18">
        <f>MONTH(tblCalendar[[#This Row],[DATE]])</f>
        <v>1</v>
      </c>
      <c r="D18" s="6" t="str">
        <f>TEXT(tblCalendar[[#This Row],[DATE]],"mmmm")</f>
        <v>January</v>
      </c>
      <c r="E18" s="6" t="str">
        <f>TEXT(tblCalendar[[#This Row],[DATE]],"mmm-yyyy")</f>
        <v>Jan-2026</v>
      </c>
      <c r="F18" s="6"/>
      <c r="G18" s="6"/>
    </row>
    <row r="19" spans="1:7">
      <c r="A19" s="6">
        <v>46040</v>
      </c>
      <c r="B19">
        <f>YEAR(tblCalendar[[#This Row],[DATE]])</f>
        <v>2026</v>
      </c>
      <c r="C19">
        <f>MONTH(tblCalendar[[#This Row],[DATE]])</f>
        <v>1</v>
      </c>
      <c r="D19" s="6" t="str">
        <f>TEXT(tblCalendar[[#This Row],[DATE]],"mmmm")</f>
        <v>January</v>
      </c>
      <c r="E19" s="6" t="str">
        <f>TEXT(tblCalendar[[#This Row],[DATE]],"mmm-yyyy")</f>
        <v>Jan-2026</v>
      </c>
      <c r="F19" s="6"/>
      <c r="G19" s="6"/>
    </row>
    <row r="20" spans="1:7">
      <c r="A20" s="6">
        <v>46041</v>
      </c>
      <c r="B20">
        <f>YEAR(tblCalendar[[#This Row],[DATE]])</f>
        <v>2026</v>
      </c>
      <c r="C20">
        <f>MONTH(tblCalendar[[#This Row],[DATE]])</f>
        <v>1</v>
      </c>
      <c r="D20" s="6" t="str">
        <f>TEXT(tblCalendar[[#This Row],[DATE]],"mmmm")</f>
        <v>January</v>
      </c>
      <c r="E20" s="6" t="str">
        <f>TEXT(tblCalendar[[#This Row],[DATE]],"mmm-yyyy")</f>
        <v>Jan-2026</v>
      </c>
      <c r="F20" s="6"/>
      <c r="G20" s="6"/>
    </row>
    <row r="21" spans="1:7">
      <c r="A21" s="6">
        <v>46042</v>
      </c>
      <c r="B21">
        <f>YEAR(tblCalendar[[#This Row],[DATE]])</f>
        <v>2026</v>
      </c>
      <c r="C21">
        <f>MONTH(tblCalendar[[#This Row],[DATE]])</f>
        <v>1</v>
      </c>
      <c r="D21" s="6" t="str">
        <f>TEXT(tblCalendar[[#This Row],[DATE]],"mmmm")</f>
        <v>January</v>
      </c>
      <c r="E21" s="6" t="str">
        <f>TEXT(tblCalendar[[#This Row],[DATE]],"mmm-yyyy")</f>
        <v>Jan-2026</v>
      </c>
      <c r="F21" s="6"/>
      <c r="G21" s="6"/>
    </row>
    <row r="22" spans="1:7">
      <c r="A22" s="6">
        <v>46043</v>
      </c>
      <c r="B22">
        <f>YEAR(tblCalendar[[#This Row],[DATE]])</f>
        <v>2026</v>
      </c>
      <c r="C22">
        <f>MONTH(tblCalendar[[#This Row],[DATE]])</f>
        <v>1</v>
      </c>
      <c r="D22" s="6" t="str">
        <f>TEXT(tblCalendar[[#This Row],[DATE]],"mmmm")</f>
        <v>January</v>
      </c>
      <c r="E22" s="6" t="str">
        <f>TEXT(tblCalendar[[#This Row],[DATE]],"mmm-yyyy")</f>
        <v>Jan-2026</v>
      </c>
      <c r="F22" s="6"/>
      <c r="G22" s="6"/>
    </row>
    <row r="23" spans="1:7">
      <c r="A23" s="6">
        <v>46044</v>
      </c>
      <c r="B23">
        <f>YEAR(tblCalendar[[#This Row],[DATE]])</f>
        <v>2026</v>
      </c>
      <c r="C23">
        <f>MONTH(tblCalendar[[#This Row],[DATE]])</f>
        <v>1</v>
      </c>
      <c r="D23" s="6" t="str">
        <f>TEXT(tblCalendar[[#This Row],[DATE]],"mmmm")</f>
        <v>January</v>
      </c>
      <c r="E23" s="6" t="str">
        <f>TEXT(tblCalendar[[#This Row],[DATE]],"mmm-yyyy")</f>
        <v>Jan-2026</v>
      </c>
      <c r="F23" s="6"/>
      <c r="G23" s="6"/>
    </row>
    <row r="24" spans="1:7">
      <c r="A24" s="6">
        <v>46045</v>
      </c>
      <c r="B24">
        <f>YEAR(tblCalendar[[#This Row],[DATE]])</f>
        <v>2026</v>
      </c>
      <c r="C24">
        <f>MONTH(tblCalendar[[#This Row],[DATE]])</f>
        <v>1</v>
      </c>
      <c r="D24" s="6" t="str">
        <f>TEXT(tblCalendar[[#This Row],[DATE]],"mmmm")</f>
        <v>January</v>
      </c>
      <c r="E24" s="6" t="str">
        <f>TEXT(tblCalendar[[#This Row],[DATE]],"mmm-yyyy")</f>
        <v>Jan-2026</v>
      </c>
      <c r="F24" s="6"/>
      <c r="G24" s="6"/>
    </row>
    <row r="25" spans="1:7">
      <c r="A25" s="6">
        <v>46046</v>
      </c>
      <c r="B25">
        <f>YEAR(tblCalendar[[#This Row],[DATE]])</f>
        <v>2026</v>
      </c>
      <c r="C25">
        <f>MONTH(tblCalendar[[#This Row],[DATE]])</f>
        <v>1</v>
      </c>
      <c r="D25" s="6" t="str">
        <f>TEXT(tblCalendar[[#This Row],[DATE]],"mmmm")</f>
        <v>January</v>
      </c>
      <c r="E25" s="6" t="str">
        <f>TEXT(tblCalendar[[#This Row],[DATE]],"mmm-yyyy")</f>
        <v>Jan-2026</v>
      </c>
      <c r="F25" s="6"/>
      <c r="G25" s="6"/>
    </row>
    <row r="26" spans="1:7">
      <c r="A26" s="6">
        <v>46047</v>
      </c>
      <c r="B26">
        <f>YEAR(tblCalendar[[#This Row],[DATE]])</f>
        <v>2026</v>
      </c>
      <c r="C26">
        <f>MONTH(tblCalendar[[#This Row],[DATE]])</f>
        <v>1</v>
      </c>
      <c r="D26" s="6" t="str">
        <f>TEXT(tblCalendar[[#This Row],[DATE]],"mmmm")</f>
        <v>January</v>
      </c>
      <c r="E26" s="6" t="str">
        <f>TEXT(tblCalendar[[#This Row],[DATE]],"mmm-yyyy")</f>
        <v>Jan-2026</v>
      </c>
      <c r="F26" s="6"/>
      <c r="G26" s="6"/>
    </row>
    <row r="27" spans="1:7">
      <c r="A27" s="6">
        <v>46048</v>
      </c>
      <c r="B27">
        <f>YEAR(tblCalendar[[#This Row],[DATE]])</f>
        <v>2026</v>
      </c>
      <c r="C27">
        <f>MONTH(tblCalendar[[#This Row],[DATE]])</f>
        <v>1</v>
      </c>
      <c r="D27" s="6" t="str">
        <f>TEXT(tblCalendar[[#This Row],[DATE]],"mmmm")</f>
        <v>January</v>
      </c>
      <c r="E27" s="6" t="str">
        <f>TEXT(tblCalendar[[#This Row],[DATE]],"mmm-yyyy")</f>
        <v>Jan-2026</v>
      </c>
      <c r="F27" s="6"/>
      <c r="G27" s="6"/>
    </row>
    <row r="28" spans="1:7">
      <c r="A28" s="6">
        <v>46049</v>
      </c>
      <c r="B28">
        <f>YEAR(tblCalendar[[#This Row],[DATE]])</f>
        <v>2026</v>
      </c>
      <c r="C28">
        <f>MONTH(tblCalendar[[#This Row],[DATE]])</f>
        <v>1</v>
      </c>
      <c r="D28" s="6" t="str">
        <f>TEXT(tblCalendar[[#This Row],[DATE]],"mmmm")</f>
        <v>January</v>
      </c>
      <c r="E28" s="6" t="str">
        <f>TEXT(tblCalendar[[#This Row],[DATE]],"mmm-yyyy")</f>
        <v>Jan-2026</v>
      </c>
      <c r="F28" s="6"/>
      <c r="G28" s="6"/>
    </row>
    <row r="29" spans="1:7">
      <c r="A29" s="6">
        <v>46050</v>
      </c>
      <c r="B29">
        <f>YEAR(tblCalendar[[#This Row],[DATE]])</f>
        <v>2026</v>
      </c>
      <c r="C29">
        <f>MONTH(tblCalendar[[#This Row],[DATE]])</f>
        <v>1</v>
      </c>
      <c r="D29" s="6" t="str">
        <f>TEXT(tblCalendar[[#This Row],[DATE]],"mmmm")</f>
        <v>January</v>
      </c>
      <c r="E29" s="6" t="str">
        <f>TEXT(tblCalendar[[#This Row],[DATE]],"mmm-yyyy")</f>
        <v>Jan-2026</v>
      </c>
      <c r="F29" s="6"/>
      <c r="G29" s="6"/>
    </row>
    <row r="30" spans="1:7">
      <c r="A30" s="6">
        <v>46051</v>
      </c>
      <c r="B30">
        <f>YEAR(tblCalendar[[#This Row],[DATE]])</f>
        <v>2026</v>
      </c>
      <c r="C30">
        <f>MONTH(tblCalendar[[#This Row],[DATE]])</f>
        <v>1</v>
      </c>
      <c r="D30" s="6" t="str">
        <f>TEXT(tblCalendar[[#This Row],[DATE]],"mmmm")</f>
        <v>January</v>
      </c>
      <c r="E30" s="6" t="str">
        <f>TEXT(tblCalendar[[#This Row],[DATE]],"mmm-yyyy")</f>
        <v>Jan-2026</v>
      </c>
      <c r="F30" s="6"/>
      <c r="G30" s="6"/>
    </row>
    <row r="31" spans="1:7">
      <c r="A31" s="6">
        <v>46052</v>
      </c>
      <c r="B31">
        <f>YEAR(tblCalendar[[#This Row],[DATE]])</f>
        <v>2026</v>
      </c>
      <c r="C31">
        <f>MONTH(tblCalendar[[#This Row],[DATE]])</f>
        <v>1</v>
      </c>
      <c r="D31" s="6" t="str">
        <f>TEXT(tblCalendar[[#This Row],[DATE]],"mmmm")</f>
        <v>January</v>
      </c>
      <c r="E31" s="6" t="str">
        <f>TEXT(tblCalendar[[#This Row],[DATE]],"mmm-yyyy")</f>
        <v>Jan-2026</v>
      </c>
      <c r="F31" s="6"/>
      <c r="G31" s="6"/>
    </row>
    <row r="32" spans="1:7">
      <c r="A32" s="6">
        <v>46053</v>
      </c>
      <c r="B32">
        <f>YEAR(tblCalendar[[#This Row],[DATE]])</f>
        <v>2026</v>
      </c>
      <c r="C32">
        <f>MONTH(tblCalendar[[#This Row],[DATE]])</f>
        <v>1</v>
      </c>
      <c r="D32" s="6" t="str">
        <f>TEXT(tblCalendar[[#This Row],[DATE]],"mmmm")</f>
        <v>January</v>
      </c>
      <c r="E32" s="6" t="str">
        <f>TEXT(tblCalendar[[#This Row],[DATE]],"mmm-yyyy")</f>
        <v>Jan-2026</v>
      </c>
      <c r="F32" s="6"/>
      <c r="G32" s="6"/>
    </row>
  </sheetData>
  <phoneticPr fontId="3"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33D0D-D4E2-40C4-8898-A19E0B86F7C5}">
  <sheetPr codeName="Sheet6"/>
  <dimension ref="A1:W24"/>
  <sheetViews>
    <sheetView topLeftCell="E5" zoomScale="122" zoomScaleNormal="122" workbookViewId="0">
      <selection activeCell="J21" sqref="J21"/>
    </sheetView>
  </sheetViews>
  <sheetFormatPr defaultRowHeight="14.4"/>
  <cols>
    <col min="1" max="1" width="22.77734375" customWidth="1"/>
    <col min="2" max="2" width="11.5546875" bestFit="1" customWidth="1"/>
    <col min="4" max="4" width="22.88671875" customWidth="1"/>
    <col min="5" max="5" width="21.21875" customWidth="1"/>
    <col min="6" max="6" width="22.109375" customWidth="1"/>
    <col min="7" max="7" width="20.33203125" customWidth="1"/>
    <col min="9" max="9" width="8.88671875" customWidth="1"/>
    <col min="10" max="10" width="14.77734375" customWidth="1"/>
    <col min="12" max="12" width="14.109375" customWidth="1"/>
    <col min="13" max="13" width="14.21875" bestFit="1" customWidth="1"/>
    <col min="15" max="15" width="10.6640625" bestFit="1" customWidth="1"/>
    <col min="20" max="20" width="11.5546875" customWidth="1"/>
  </cols>
  <sheetData>
    <row r="1" spans="1:23" ht="15.6">
      <c r="A1" s="2" t="s">
        <v>90</v>
      </c>
      <c r="B1" s="2" t="s">
        <v>91</v>
      </c>
      <c r="D1" s="9" t="s">
        <v>127</v>
      </c>
      <c r="E1" s="9" t="s">
        <v>128</v>
      </c>
      <c r="F1" s="9" t="s">
        <v>129</v>
      </c>
    </row>
    <row r="2" spans="1:23" ht="15.6">
      <c r="A2" s="7" t="s">
        <v>92</v>
      </c>
      <c r="B2" s="7" t="s">
        <v>93</v>
      </c>
      <c r="D2" t="str" cm="1">
        <f t="array" ref="D2:D5">_xlfn._xlws.SORT(_xlfn.UNIQUE(tblCleanSales[Region]))</f>
        <v>East</v>
      </c>
      <c r="E2" t="str" cm="1">
        <f t="array" ref="E2:E8">_xlfn._xlws.SORT(_xlfn.UNIQUE(tblCleanSales[Product]))</f>
        <v>Desk</v>
      </c>
      <c r="F2" t="str" cm="1">
        <f t="array" ref="F2:F4">_xlfn._xlws.SORT(_xlfn.UNIQUE(tblCleanSales[Category]))</f>
        <v>Accessories</v>
      </c>
    </row>
    <row r="3" spans="1:23">
      <c r="A3" s="3" t="s">
        <v>96</v>
      </c>
      <c r="B3" s="3">
        <f>COUNTA(tblCleanSales[Order_Id])</f>
        <v>30</v>
      </c>
      <c r="D3" t="str">
        <v>North</v>
      </c>
      <c r="E3" t="str">
        <v>Keyboard</v>
      </c>
      <c r="F3" t="str">
        <v>Electronics</v>
      </c>
    </row>
    <row r="4" spans="1:23">
      <c r="A4" s="3" t="s">
        <v>97</v>
      </c>
      <c r="B4" s="3">
        <f>COUNTIF(tblCleanSales[Order_Status],"Completed")</f>
        <v>29</v>
      </c>
      <c r="D4" t="str">
        <v>South</v>
      </c>
      <c r="E4" t="str">
        <v>Laptop</v>
      </c>
      <c r="F4" t="str">
        <v>Furniture</v>
      </c>
    </row>
    <row r="5" spans="1:23">
      <c r="A5" s="3" t="s">
        <v>116</v>
      </c>
      <c r="B5" s="3">
        <f>SUM(tblCleanSales[Sales_Amount])</f>
        <v>1574500</v>
      </c>
      <c r="D5" t="str">
        <v>West</v>
      </c>
      <c r="E5" t="str">
        <v>Mobile</v>
      </c>
    </row>
    <row r="6" spans="1:23">
      <c r="A6" s="3" t="s">
        <v>94</v>
      </c>
      <c r="B6">
        <f>SUM(tblCleanSales[Completed_Sales])</f>
        <v>1562000</v>
      </c>
      <c r="E6" t="str">
        <v>Monitor</v>
      </c>
    </row>
    <row r="7" spans="1:23">
      <c r="A7" s="3" t="s">
        <v>117</v>
      </c>
      <c r="B7">
        <f>SUM(tblCleanSales[Profit])</f>
        <v>445800</v>
      </c>
      <c r="E7" t="str">
        <v>Mouse</v>
      </c>
    </row>
    <row r="8" spans="1:23">
      <c r="A8" s="3" t="s">
        <v>95</v>
      </c>
      <c r="B8">
        <f>SUM(tblCleanSales[Completed_Profit])</f>
        <v>440800</v>
      </c>
      <c r="E8" t="str">
        <v>Office Chair</v>
      </c>
      <c r="F8" t="s">
        <v>116</v>
      </c>
    </row>
    <row r="9" spans="1:23">
      <c r="A9" s="3" t="s">
        <v>98</v>
      </c>
      <c r="B9" s="3">
        <f>COUNTIF(tblCleanSales[Order_Status],"Cancelled")</f>
        <v>1</v>
      </c>
    </row>
    <row r="10" spans="1:23">
      <c r="A10" s="3" t="s">
        <v>99</v>
      </c>
      <c r="B10" s="3">
        <f>AVERAGE(tblCleanSales[Sales_Amount])</f>
        <v>52483.333333333336</v>
      </c>
    </row>
    <row r="11" spans="1:23">
      <c r="A11" s="3" t="s">
        <v>100</v>
      </c>
      <c r="B11" s="4">
        <f>IFERROR(B8/B6,0)</f>
        <v>0.28220230473751601</v>
      </c>
    </row>
    <row r="12" spans="1:23">
      <c r="A12" s="3" t="s">
        <v>122</v>
      </c>
      <c r="B12" s="8">
        <f>IFERROR(COUNTIF(tblCleanSales[Order_Status],"Cancelled")/COUNTIF(tblCleanSales[Order_Status],"Completed"),0)</f>
        <v>3.4482758620689655E-2</v>
      </c>
      <c r="E12" s="2"/>
      <c r="F12" s="2"/>
      <c r="G12" s="2"/>
      <c r="H12" s="2"/>
      <c r="I12" s="2"/>
      <c r="J12" s="2"/>
    </row>
    <row r="13" spans="1:23" ht="15.6">
      <c r="A13" s="3" t="s">
        <v>123</v>
      </c>
      <c r="B13">
        <f>COUNTIF(tblCleanSales[Data_Quality_Status],"&lt;&gt;Valid")</f>
        <v>0</v>
      </c>
      <c r="E13" s="3"/>
      <c r="F13" s="3"/>
      <c r="G13" s="10" t="s">
        <v>1</v>
      </c>
      <c r="H13" s="11" t="s">
        <v>101</v>
      </c>
      <c r="I13" s="11" t="s">
        <v>130</v>
      </c>
      <c r="J13" s="12" t="s">
        <v>131</v>
      </c>
      <c r="K13" s="11" t="s">
        <v>102</v>
      </c>
      <c r="L13" s="11" t="s">
        <v>158</v>
      </c>
      <c r="M13" s="11" t="s">
        <v>138</v>
      </c>
      <c r="N13" s="16"/>
      <c r="O13" s="11" t="s">
        <v>132</v>
      </c>
      <c r="P13" s="11" t="s">
        <v>101</v>
      </c>
      <c r="Q13" s="11" t="s">
        <v>87</v>
      </c>
      <c r="R13" s="11" t="s">
        <v>5</v>
      </c>
      <c r="T13" s="11" t="s">
        <v>2</v>
      </c>
      <c r="U13" s="11" t="s">
        <v>101</v>
      </c>
      <c r="V13" s="11" t="s">
        <v>87</v>
      </c>
      <c r="W13" s="11" t="s">
        <v>133</v>
      </c>
    </row>
    <row r="14" spans="1:23">
      <c r="A14" s="3" t="s">
        <v>124</v>
      </c>
      <c r="B14" s="1">
        <f>MIN(tblCleanSales[Order_Date])</f>
        <v>46023</v>
      </c>
      <c r="E14" s="3"/>
      <c r="F14" s="3"/>
      <c r="G14" s="13" t="str" cm="1">
        <f t="array" ref="G14:G17">_xlfn._xlws.SORT(_xlfn.UNIQUE(tblCleanSales[Region]))</f>
        <v>East</v>
      </c>
      <c r="H14" s="13">
        <f>SUMIFS(tblCleanSales[Completed_Sales],tblCleanSales[Region],Analysis!G14)</f>
        <v>400000</v>
      </c>
      <c r="I14" s="13">
        <f>SUMIFS(tblCleanSales[Completed_Profit],tblCleanSales[Region],Analysis!G14)</f>
        <v>114000</v>
      </c>
      <c r="J14" s="14">
        <f>COUNTIFS(tblCleanSales[Region],Analysis!G14,tblCleanSales[Order_Status],PQ_Clean_Sales!J12)</f>
        <v>7</v>
      </c>
      <c r="K14" s="15">
        <f>VLOOKUP(G14,tblTargets[],2,FALSE)</f>
        <v>250000</v>
      </c>
      <c r="L14" s="24">
        <f>IFERROR(H14/K14,0)</f>
        <v>1.6</v>
      </c>
      <c r="M14" s="15" t="str" cm="1">
        <f t="array" ref="M14">_xlfn.IFS(L14&gt;1,"Target Achieved",L14&gt;0.8,"At Risk",TRUE,"Below Target")</f>
        <v>Target Achieved</v>
      </c>
      <c r="O14" s="15" t="str" cm="1">
        <f t="array" ref="O14:O20">_xlfn._xlws.SORT(_xlfn.UNIQUE(tblCleanSales[Product]))</f>
        <v>Desk</v>
      </c>
      <c r="P14" s="15">
        <f>SUMIFS(tblCleanSales[Completed_Sales],tblCleanSales[Product],Analysis!O14)</f>
        <v>180000</v>
      </c>
      <c r="Q14" s="15">
        <f>SUMIFS(tblCleanSales[Completed_Profit],tblCleanSales[Product],Analysis!O14)</f>
        <v>60000</v>
      </c>
      <c r="R14" s="15">
        <f>SUMIFS(tblCleanSales[Quantity],tblCleanSales[Product],Analysis!O14)</f>
        <v>12</v>
      </c>
      <c r="T14" s="15" t="str" cm="1">
        <f t="array" ref="T14:T17">_xlfn._xlws.SORT(_xlfn.UNIQUE(tblCleanSales[Salesperson],FALSE))</f>
        <v>Amit</v>
      </c>
      <c r="U14" s="15">
        <f>SUMIF(tblCleanSales[Salesperson],Analysis!T14,tblCleanSales[Completed_Sales])</f>
        <v>453000</v>
      </c>
      <c r="V14" s="15">
        <f>SUMIF(tblCleanSales[Salesperson],Analysis!T14,tblCleanSales[Completed_Profit])</f>
        <v>124800</v>
      </c>
      <c r="W14" s="15">
        <f>COUNTIFS(tblCleanSales[Salesperson],Analysis!T14,tblCleanSales[Order_Status],PQ_Clean_Sales!J4)</f>
        <v>8</v>
      </c>
    </row>
    <row r="15" spans="1:23">
      <c r="A15" s="3" t="s">
        <v>125</v>
      </c>
      <c r="B15" s="1">
        <f>MAX(tblCleanSales[Order_Date])</f>
        <v>46052</v>
      </c>
      <c r="E15" s="3"/>
      <c r="F15" s="3"/>
      <c r="G15" s="13" t="str">
        <v>North</v>
      </c>
      <c r="H15" s="13">
        <f>SUMIFS(tblCleanSales[Completed_Sales],tblCleanSales[Region],Analysis!G15)</f>
        <v>453000</v>
      </c>
      <c r="I15" s="13">
        <f>SUMIFS(tblCleanSales[Completed_Profit],tblCleanSales[Region],Analysis!G15)</f>
        <v>124800</v>
      </c>
      <c r="J15" s="14">
        <f>COUNTIFS(tblCleanSales[Region],Analysis!G15,tblCleanSales[Order_Status],PQ_Clean_Sales!J13)</f>
        <v>8</v>
      </c>
      <c r="K15" s="15">
        <f>VLOOKUP(G15,tblTargets[],2,FALSE)</f>
        <v>350000</v>
      </c>
      <c r="L15" s="24">
        <f t="shared" ref="L15:L17" si="0">IFERROR(H15/K15,0)</f>
        <v>1.2942857142857143</v>
      </c>
      <c r="M15" s="15" t="str" cm="1">
        <f t="array" ref="M15">_xlfn.IFS(L15&gt;1,"Target Achieved",L15&gt;0.8,"At Risk",TRUE,"Below Target")</f>
        <v>Target Achieved</v>
      </c>
      <c r="O15" s="15" t="str">
        <v>Keyboard</v>
      </c>
      <c r="P15" s="15">
        <f>SUMIFS(tblCleanSales[Completed_Sales],tblCleanSales[Product],Analysis!O15)</f>
        <v>70000</v>
      </c>
      <c r="Q15" s="15">
        <f>SUMIFS(tblCleanSales[Completed_Profit],tblCleanSales[Product],Analysis!O15)</f>
        <v>28000</v>
      </c>
      <c r="R15" s="15">
        <f>SUMIFS(tblCleanSales[Quantity],tblCleanSales[Product],Analysis!O15)</f>
        <v>33</v>
      </c>
      <c r="T15" s="15" t="str">
        <v>Neha</v>
      </c>
      <c r="U15" s="15">
        <f>SUMIF(tblCleanSales[Salesperson],Analysis!T15,tblCleanSales[Completed_Sales])</f>
        <v>264000</v>
      </c>
      <c r="V15" s="15">
        <f>SUMIF(tblCleanSales[Salesperson],Analysis!T15,tblCleanSales[Completed_Profit])</f>
        <v>74000</v>
      </c>
      <c r="W15" s="15">
        <f>COUNTIFS(tblCleanSales[Salesperson],Analysis!T15,tblCleanSales[Order_Status],PQ_Clean_Sales!J5)</f>
        <v>6</v>
      </c>
    </row>
    <row r="16" spans="1:23">
      <c r="A16" s="3" t="s">
        <v>126</v>
      </c>
      <c r="B16">
        <f>COUNTA(tblCleanSales[Order_Id])</f>
        <v>30</v>
      </c>
      <c r="E16" s="3"/>
      <c r="F16" s="3"/>
      <c r="G16" s="13" t="str">
        <v>South</v>
      </c>
      <c r="H16" s="13">
        <f>SUMIFS(tblCleanSales[Completed_Sales],tblCleanSales[Region],Analysis!G16)</f>
        <v>445000</v>
      </c>
      <c r="I16" s="13">
        <f>SUMIFS(tblCleanSales[Completed_Profit],tblCleanSales[Region],Analysis!G16)</f>
        <v>128000</v>
      </c>
      <c r="J16" s="14">
        <f>COUNTIFS(tblCleanSales[Region],Analysis!G16,tblCleanSales[Order_Status],PQ_Clean_Sales!J14)</f>
        <v>8</v>
      </c>
      <c r="K16" s="15">
        <f>VLOOKUP(G16,tblTargets[],2,FALSE)</f>
        <v>300000</v>
      </c>
      <c r="L16" s="24">
        <f t="shared" si="0"/>
        <v>1.4833333333333334</v>
      </c>
      <c r="M16" s="15" t="str" cm="1">
        <f t="array" ref="M16">_xlfn.IFS(L16&gt;1,"Target Achieved",L16&gt;0.8,"At Risk",TRUE,"Below Target")</f>
        <v>Target Achieved</v>
      </c>
      <c r="O16" s="15" t="str">
        <v>Laptop</v>
      </c>
      <c r="P16" s="15">
        <f>SUMIFS(tblCleanSales[Completed_Sales],tblCleanSales[Product],Analysis!O16)</f>
        <v>420000</v>
      </c>
      <c r="Q16" s="15">
        <f>SUMIFS(tblCleanSales[Completed_Profit],tblCleanSales[Product],Analysis!O16)</f>
        <v>105000</v>
      </c>
      <c r="R16" s="15">
        <f>SUMIFS(tblCleanSales[Quantity],tblCleanSales[Product],Analysis!O16)</f>
        <v>7</v>
      </c>
      <c r="T16" s="15" t="str">
        <v>Priya</v>
      </c>
      <c r="U16" s="15">
        <f>SUMIF(tblCleanSales[Salesperson],Analysis!T16,tblCleanSales[Completed_Sales])</f>
        <v>445000</v>
      </c>
      <c r="V16" s="15">
        <f>SUMIF(tblCleanSales[Salesperson],Analysis!T16,tblCleanSales[Completed_Profit])</f>
        <v>128000</v>
      </c>
      <c r="W16" s="15">
        <f>COUNTIFS(tblCleanSales[Salesperson],Analysis!T16,tblCleanSales[Order_Status],PQ_Clean_Sales!J6)</f>
        <v>8</v>
      </c>
    </row>
    <row r="17" spans="1:23">
      <c r="G17" s="15" t="str">
        <v>West</v>
      </c>
      <c r="H17" s="13">
        <f>SUMIFS(tblCleanSales[Completed_Sales],tblCleanSales[Region],Analysis!G17)</f>
        <v>264000</v>
      </c>
      <c r="I17" s="13">
        <f>SUMIFS(tblCleanSales[Completed_Profit],tblCleanSales[Region],Analysis!G17)</f>
        <v>74000</v>
      </c>
      <c r="J17" s="14">
        <f>COUNTIFS(tblCleanSales[Region],Analysis!G17,tblCleanSales[Order_Status],PQ_Clean_Sales!J15)</f>
        <v>6</v>
      </c>
      <c r="K17" s="15">
        <f>VLOOKUP(G17,tblTargets[],2,FALSE)</f>
        <v>280000</v>
      </c>
      <c r="L17" s="24">
        <f t="shared" si="0"/>
        <v>0.94285714285714284</v>
      </c>
      <c r="M17" s="15" t="str" cm="1">
        <f t="array" ref="M17">_xlfn.IFS(L17&gt;1,"Target Achieved",L17&gt;0.8,"At Risk",TRUE,"Below Target")</f>
        <v>At Risk</v>
      </c>
      <c r="O17" s="15" t="str">
        <v>Mobile</v>
      </c>
      <c r="P17" s="15">
        <f>SUMIFS(tblCleanSales[Completed_Sales],tblCleanSales[Product],Analysis!O17)</f>
        <v>440000</v>
      </c>
      <c r="Q17" s="15">
        <f>SUMIFS(tblCleanSales[Completed_Profit],tblCleanSales[Product],Analysis!O17)</f>
        <v>110000</v>
      </c>
      <c r="R17" s="15">
        <f>SUMIFS(tblCleanSales[Quantity],tblCleanSales[Product],Analysis!O17)</f>
        <v>22</v>
      </c>
      <c r="T17" s="15" t="str">
        <v>Rahul</v>
      </c>
      <c r="U17" s="15">
        <f>SUMIF(tblCleanSales[Salesperson],Analysis!T17,tblCleanSales[Completed_Sales])</f>
        <v>400000</v>
      </c>
      <c r="V17" s="15">
        <f>SUMIF(tblCleanSales[Salesperson],Analysis!T17,tblCleanSales[Completed_Profit])</f>
        <v>114000</v>
      </c>
      <c r="W17" s="15">
        <f>COUNTIFS(tblCleanSales[Salesperson],Analysis!T17,tblCleanSales[Order_Status],PQ_Clean_Sales!J7)</f>
        <v>7</v>
      </c>
    </row>
    <row r="18" spans="1:23">
      <c r="O18" s="15" t="str">
        <v>Monitor</v>
      </c>
      <c r="P18" s="15">
        <f>SUMIFS(tblCleanSales[Completed_Sales],tblCleanSales[Product],Analysis!O18)</f>
        <v>220000</v>
      </c>
      <c r="Q18" s="15">
        <f>SUMIFS(tblCleanSales[Completed_Profit],tblCleanSales[Product],Analysis!O18)</f>
        <v>55000</v>
      </c>
      <c r="R18" s="15">
        <f>SUMIFS(tblCleanSales[Quantity],tblCleanSales[Product],Analysis!O18)</f>
        <v>11</v>
      </c>
    </row>
    <row r="19" spans="1:23">
      <c r="A19" s="3" t="s">
        <v>134</v>
      </c>
      <c r="D19" t="s">
        <v>135</v>
      </c>
      <c r="F19" t="s">
        <v>136</v>
      </c>
      <c r="O19" s="15" t="str">
        <v>Mouse</v>
      </c>
      <c r="P19" s="15">
        <f>SUMIFS(tblCleanSales[Completed_Sales],tblCleanSales[Product],Analysis!O19)</f>
        <v>62000</v>
      </c>
      <c r="Q19" s="15">
        <f>SUMIFS(tblCleanSales[Completed_Profit],tblCleanSales[Product],Analysis!O19)</f>
        <v>24800</v>
      </c>
      <c r="R19" s="15">
        <f>SUMIFS(tblCleanSales[Quantity],tblCleanSales[Product],Analysis!O19)</f>
        <v>62</v>
      </c>
    </row>
    <row r="20" spans="1:23">
      <c r="A20">
        <f>_xlfn.XLOOKUP(D3,tblTargets[Region],tblTargets[Monthly_Sales_Target],"Not Found")</f>
        <v>350000</v>
      </c>
      <c r="D20">
        <f>INDEX(tblTargets[Monthly_Sales_Target],MATCH(Analysis!D2,tblTargets[Region],0))</f>
        <v>250000</v>
      </c>
      <c r="F20">
        <f>VLOOKUP(D2,tblTargets[],2,FALSE)</f>
        <v>250000</v>
      </c>
      <c r="O20" s="15" t="str">
        <v>Office Chair</v>
      </c>
      <c r="P20" s="15">
        <f>SUMIFS(tblCleanSales[Completed_Sales],tblCleanSales[Product],Analysis!O20)</f>
        <v>170000</v>
      </c>
      <c r="Q20" s="15">
        <f>SUMIFS(tblCleanSales[Completed_Profit],tblCleanSales[Product],Analysis!O20)</f>
        <v>58000</v>
      </c>
      <c r="R20" s="15">
        <f>SUMIFS(tblCleanSales[Quantity],tblCleanSales[Product],Analysis!O20)</f>
        <v>14</v>
      </c>
    </row>
    <row r="21" spans="1:23">
      <c r="D21">
        <f>INDEX(tblTargets[Monthly_Sales_Target],MATCH(Analysis!D3,tblTargets[Region],0))</f>
        <v>350000</v>
      </c>
      <c r="F21">
        <f>VLOOKUP(D3,tblTargets[],2,FALSE)</f>
        <v>350000</v>
      </c>
    </row>
    <row r="22" spans="1:23">
      <c r="D22">
        <f>INDEX(tblTargets[Monthly_Sales_Target],MATCH(Analysis!D4,tblTargets[Region],0))</f>
        <v>300000</v>
      </c>
      <c r="F22">
        <f>VLOOKUP(D4,tblTargets[],2,FALSE)</f>
        <v>300000</v>
      </c>
    </row>
    <row r="23" spans="1:23">
      <c r="D23">
        <f>INDEX(tblTargets[Monthly_Sales_Target],MATCH(Analysis!D5,tblTargets[Region],0))</f>
        <v>280000</v>
      </c>
      <c r="F23">
        <f>VLOOKUP(D5,tblTargets[],2,FALSE)</f>
        <v>280000</v>
      </c>
    </row>
    <row r="24" spans="1:23">
      <c r="F24" t="s">
        <v>137</v>
      </c>
    </row>
  </sheetData>
  <conditionalFormatting sqref="L14:L17">
    <cfRule type="cellIs" dxfId="2" priority="1" operator="lessThan">
      <formula>1</formula>
    </cfRule>
    <cfRule type="cellIs" dxfId="1" priority="2" operator="greaterThanOrEqual">
      <formula>1</formula>
    </cfRule>
  </conditionalFormatting>
  <dataValidations count="1">
    <dataValidation type="list" allowBlank="1" showInputMessage="1" showErrorMessage="1" sqref="F8" xr:uid="{BAD8C23C-58CB-48E2-A47D-A02E5159C8C4}">
      <formula1>$A$3:$A$16</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54DB1-6B4E-4AA7-AA52-5F0FE32585CA}">
  <sheetPr codeName="Sheet7"/>
  <dimension ref="A1"/>
  <sheetViews>
    <sheetView workbookViewId="0">
      <selection activeCell="D21" sqref="D21"/>
    </sheetView>
  </sheetViews>
  <sheetFormatPr defaultRowHeight="14.4"/>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AACBC-0834-4505-85B6-20E2BC8EA693}">
  <sheetPr codeName="Sheet8"/>
  <dimension ref="A1:C5"/>
  <sheetViews>
    <sheetView workbookViewId="0">
      <selection sqref="A1:C5"/>
    </sheetView>
  </sheetViews>
  <sheetFormatPr defaultRowHeight="14.4"/>
  <cols>
    <col min="1" max="1" width="8.6640625" customWidth="1"/>
    <col min="2" max="2" width="21.6640625" customWidth="1"/>
    <col min="3" max="3" width="22.109375" customWidth="1"/>
  </cols>
  <sheetData>
    <row r="1" spans="1:3">
      <c r="A1" t="s">
        <v>1</v>
      </c>
      <c r="B1" t="s">
        <v>85</v>
      </c>
      <c r="C1" t="s">
        <v>86</v>
      </c>
    </row>
    <row r="2" spans="1:3">
      <c r="A2" t="s">
        <v>11</v>
      </c>
      <c r="B2">
        <v>350000</v>
      </c>
      <c r="C2">
        <v>90000</v>
      </c>
    </row>
    <row r="3" spans="1:3">
      <c r="A3" t="s">
        <v>17</v>
      </c>
      <c r="B3">
        <v>300000</v>
      </c>
      <c r="C3">
        <v>75000</v>
      </c>
    </row>
    <row r="4" spans="1:3">
      <c r="A4" t="s">
        <v>22</v>
      </c>
      <c r="B4">
        <v>250000</v>
      </c>
      <c r="C4">
        <v>60000</v>
      </c>
    </row>
    <row r="5" spans="1:3">
      <c r="A5" t="s">
        <v>28</v>
      </c>
      <c r="B5">
        <v>280000</v>
      </c>
      <c r="C5">
        <v>70000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57574-991E-4EA0-8B42-B788785BC5EB}">
  <sheetPr codeName="Sheet9"/>
  <dimension ref="A1:R71"/>
  <sheetViews>
    <sheetView topLeftCell="E8" workbookViewId="0">
      <selection activeCell="Q21" sqref="Q21"/>
    </sheetView>
  </sheetViews>
  <sheetFormatPr defaultRowHeight="14.4"/>
  <cols>
    <col min="1" max="1" width="12.5546875" bestFit="1" customWidth="1"/>
    <col min="2" max="2" width="15" bestFit="1" customWidth="1"/>
    <col min="3" max="3" width="22.6640625" bestFit="1" customWidth="1"/>
    <col min="4" max="4" width="16.33203125" bestFit="1" customWidth="1"/>
    <col min="10" max="10" width="12.5546875" bestFit="1" customWidth="1"/>
    <col min="11" max="11" width="22.21875" bestFit="1" customWidth="1"/>
    <col min="12" max="12" width="22.6640625" bestFit="1" customWidth="1"/>
    <col min="13" max="13" width="25.44140625" bestFit="1" customWidth="1"/>
    <col min="16" max="16" width="22.21875" bestFit="1" customWidth="1"/>
    <col min="17" max="17" width="22.6640625" bestFit="1" customWidth="1"/>
    <col min="18" max="18" width="16.33203125" bestFit="1" customWidth="1"/>
  </cols>
  <sheetData>
    <row r="1" spans="1:13">
      <c r="A1" s="17" t="s">
        <v>8</v>
      </c>
      <c r="B1" t="s">
        <v>161</v>
      </c>
      <c r="J1" s="17" t="s">
        <v>139</v>
      </c>
      <c r="K1" t="s">
        <v>143</v>
      </c>
      <c r="L1" t="s">
        <v>142</v>
      </c>
      <c r="M1" t="s">
        <v>145</v>
      </c>
    </row>
    <row r="2" spans="1:13">
      <c r="J2" s="18" t="s">
        <v>107</v>
      </c>
      <c r="K2" s="26">
        <v>180000</v>
      </c>
      <c r="L2" s="26">
        <v>60000</v>
      </c>
      <c r="M2" s="26">
        <v>12</v>
      </c>
    </row>
    <row r="3" spans="1:13">
      <c r="A3" s="17" t="s">
        <v>139</v>
      </c>
      <c r="B3" t="s">
        <v>143</v>
      </c>
      <c r="C3" t="s">
        <v>142</v>
      </c>
      <c r="D3" t="s">
        <v>146</v>
      </c>
      <c r="J3" s="18" t="s">
        <v>24</v>
      </c>
      <c r="K3" s="26">
        <v>70000</v>
      </c>
      <c r="L3" s="26">
        <v>28000</v>
      </c>
      <c r="M3" s="26">
        <v>28</v>
      </c>
    </row>
    <row r="4" spans="1:13">
      <c r="A4" s="18" t="s">
        <v>11</v>
      </c>
      <c r="B4" s="19">
        <v>453000</v>
      </c>
      <c r="C4" s="26">
        <v>124800</v>
      </c>
      <c r="D4" s="26">
        <v>8</v>
      </c>
      <c r="J4" s="18" t="s">
        <v>12</v>
      </c>
      <c r="K4" s="26">
        <v>420000</v>
      </c>
      <c r="L4" s="26">
        <v>105000</v>
      </c>
      <c r="M4" s="26">
        <v>7</v>
      </c>
    </row>
    <row r="5" spans="1:13">
      <c r="A5" s="18" t="s">
        <v>17</v>
      </c>
      <c r="B5" s="19">
        <v>445000</v>
      </c>
      <c r="C5" s="26">
        <v>128000</v>
      </c>
      <c r="D5" s="26">
        <v>8</v>
      </c>
      <c r="J5" s="18" t="s">
        <v>104</v>
      </c>
      <c r="K5" s="26">
        <v>440000</v>
      </c>
      <c r="L5" s="26">
        <v>110000</v>
      </c>
      <c r="M5" s="26">
        <v>22</v>
      </c>
    </row>
    <row r="6" spans="1:13">
      <c r="A6" s="18" t="s">
        <v>22</v>
      </c>
      <c r="B6" s="19">
        <v>400000</v>
      </c>
      <c r="C6" s="26">
        <v>114000</v>
      </c>
      <c r="D6" s="26">
        <v>7</v>
      </c>
      <c r="J6" s="18" t="s">
        <v>19</v>
      </c>
      <c r="K6" s="26">
        <v>220000</v>
      </c>
      <c r="L6" s="26">
        <v>55000</v>
      </c>
      <c r="M6" s="26">
        <v>11</v>
      </c>
    </row>
    <row r="7" spans="1:13">
      <c r="A7" s="18" t="s">
        <v>28</v>
      </c>
      <c r="B7" s="19">
        <v>264000</v>
      </c>
      <c r="C7" s="26">
        <v>74000</v>
      </c>
      <c r="D7" s="26">
        <v>7</v>
      </c>
      <c r="J7" s="18" t="s">
        <v>30</v>
      </c>
      <c r="K7" s="26">
        <v>62000</v>
      </c>
      <c r="L7" s="26">
        <v>24800</v>
      </c>
      <c r="M7" s="26">
        <v>62</v>
      </c>
    </row>
    <row r="8" spans="1:13">
      <c r="A8" s="18" t="s">
        <v>140</v>
      </c>
      <c r="B8" s="19">
        <v>1562000</v>
      </c>
      <c r="C8" s="26">
        <v>440800</v>
      </c>
      <c r="D8" s="26">
        <v>30</v>
      </c>
      <c r="J8" s="18" t="s">
        <v>105</v>
      </c>
      <c r="K8" s="26">
        <v>170000</v>
      </c>
      <c r="L8" s="26">
        <v>58000</v>
      </c>
      <c r="M8" s="26">
        <v>14</v>
      </c>
    </row>
    <row r="9" spans="1:13">
      <c r="J9" s="18" t="s">
        <v>140</v>
      </c>
      <c r="K9" s="26">
        <v>1562000</v>
      </c>
      <c r="L9" s="26">
        <v>440800</v>
      </c>
      <c r="M9" s="26">
        <v>156</v>
      </c>
    </row>
    <row r="18" spans="1:18">
      <c r="P18" s="17" t="s">
        <v>8</v>
      </c>
      <c r="Q18" t="s">
        <v>161</v>
      </c>
    </row>
    <row r="20" spans="1:18">
      <c r="A20" s="17" t="s">
        <v>139</v>
      </c>
      <c r="B20" t="s">
        <v>143</v>
      </c>
      <c r="C20" t="s">
        <v>142</v>
      </c>
      <c r="J20" s="17" t="s">
        <v>139</v>
      </c>
      <c r="K20" t="s">
        <v>141</v>
      </c>
      <c r="L20" t="s">
        <v>142</v>
      </c>
      <c r="M20" t="s">
        <v>145</v>
      </c>
      <c r="P20" t="s">
        <v>141</v>
      </c>
      <c r="Q20" t="s">
        <v>142</v>
      </c>
      <c r="R20" t="s">
        <v>146</v>
      </c>
    </row>
    <row r="21" spans="1:18">
      <c r="A21" s="18" t="s">
        <v>103</v>
      </c>
      <c r="B21" s="26">
        <v>453000</v>
      </c>
      <c r="C21" s="26">
        <v>124800</v>
      </c>
      <c r="J21" s="18" t="s">
        <v>25</v>
      </c>
      <c r="K21" s="26">
        <v>132000</v>
      </c>
      <c r="L21" s="26">
        <v>52800</v>
      </c>
      <c r="M21" s="26">
        <v>90</v>
      </c>
      <c r="P21" s="26">
        <v>1562000</v>
      </c>
      <c r="Q21" s="26">
        <v>440800</v>
      </c>
      <c r="R21" s="26">
        <v>30</v>
      </c>
    </row>
    <row r="22" spans="1:18">
      <c r="A22" s="18" t="s">
        <v>29</v>
      </c>
      <c r="B22" s="26">
        <v>264000</v>
      </c>
      <c r="C22" s="26">
        <v>74000</v>
      </c>
      <c r="J22" s="18" t="s">
        <v>13</v>
      </c>
      <c r="K22" s="26">
        <v>1080000</v>
      </c>
      <c r="L22" s="26">
        <v>270000</v>
      </c>
      <c r="M22" s="26">
        <v>40</v>
      </c>
    </row>
    <row r="23" spans="1:18">
      <c r="A23" s="18" t="s">
        <v>18</v>
      </c>
      <c r="B23" s="26">
        <v>445000</v>
      </c>
      <c r="C23" s="26">
        <v>128000</v>
      </c>
      <c r="J23" s="18" t="s">
        <v>106</v>
      </c>
      <c r="K23" s="26">
        <v>350000</v>
      </c>
      <c r="L23" s="26">
        <v>118000</v>
      </c>
      <c r="M23" s="26">
        <v>26</v>
      </c>
    </row>
    <row r="24" spans="1:18">
      <c r="A24" s="18" t="s">
        <v>23</v>
      </c>
      <c r="B24" s="26">
        <v>400000</v>
      </c>
      <c r="C24" s="26">
        <v>114000</v>
      </c>
      <c r="J24" s="18" t="s">
        <v>140</v>
      </c>
      <c r="K24" s="26">
        <v>1562000</v>
      </c>
      <c r="L24" s="26">
        <v>440800</v>
      </c>
      <c r="M24" s="26">
        <v>156</v>
      </c>
    </row>
    <row r="25" spans="1:18">
      <c r="A25" s="18" t="s">
        <v>140</v>
      </c>
      <c r="B25" s="26">
        <v>1562000</v>
      </c>
      <c r="C25" s="26">
        <v>440800</v>
      </c>
    </row>
    <row r="40" spans="1:11">
      <c r="A40" s="17" t="s">
        <v>139</v>
      </c>
      <c r="B40" t="s">
        <v>147</v>
      </c>
      <c r="J40" s="17" t="s">
        <v>139</v>
      </c>
      <c r="K40" t="s">
        <v>141</v>
      </c>
    </row>
    <row r="41" spans="1:11">
      <c r="A41" s="18" t="s">
        <v>63</v>
      </c>
      <c r="B41" s="26">
        <v>1</v>
      </c>
      <c r="J41" s="20">
        <v>46023</v>
      </c>
      <c r="K41" s="26">
        <v>120000</v>
      </c>
    </row>
    <row r="42" spans="1:11">
      <c r="A42" s="18" t="s">
        <v>14</v>
      </c>
      <c r="B42" s="26">
        <v>29</v>
      </c>
      <c r="J42" s="20">
        <v>46024</v>
      </c>
      <c r="K42" s="26">
        <v>100000</v>
      </c>
    </row>
    <row r="43" spans="1:11">
      <c r="A43" s="18" t="s">
        <v>140</v>
      </c>
      <c r="B43" s="26">
        <v>30</v>
      </c>
      <c r="J43" s="20">
        <v>46025</v>
      </c>
      <c r="K43" s="26">
        <v>50000</v>
      </c>
    </row>
    <row r="44" spans="1:11">
      <c r="J44" s="20">
        <v>46026</v>
      </c>
      <c r="K44" s="26">
        <v>45000</v>
      </c>
    </row>
    <row r="45" spans="1:11">
      <c r="J45" s="20">
        <v>46027</v>
      </c>
      <c r="K45" s="26">
        <v>80000</v>
      </c>
    </row>
    <row r="46" spans="1:11">
      <c r="J46" s="20">
        <v>46028</v>
      </c>
      <c r="K46" s="26">
        <v>25000</v>
      </c>
    </row>
    <row r="47" spans="1:11">
      <c r="J47" s="20">
        <v>46029</v>
      </c>
      <c r="K47" s="26">
        <v>15000</v>
      </c>
    </row>
    <row r="48" spans="1:11">
      <c r="J48" s="20">
        <v>46030</v>
      </c>
      <c r="K48" s="26">
        <v>60000</v>
      </c>
    </row>
    <row r="49" spans="10:11">
      <c r="J49" s="20">
        <v>46031</v>
      </c>
      <c r="K49" s="26">
        <v>80000</v>
      </c>
    </row>
    <row r="50" spans="10:11">
      <c r="J50" s="20">
        <v>46032</v>
      </c>
      <c r="K50" s="26">
        <v>60000</v>
      </c>
    </row>
    <row r="51" spans="10:11">
      <c r="J51" s="20">
        <v>46033</v>
      </c>
      <c r="K51" s="26">
        <v>30000</v>
      </c>
    </row>
    <row r="52" spans="10:11">
      <c r="J52" s="20">
        <v>46034</v>
      </c>
      <c r="K52" s="26">
        <v>60000</v>
      </c>
    </row>
    <row r="53" spans="10:11">
      <c r="J53" s="20">
        <v>46035</v>
      </c>
      <c r="K53" s="26">
        <v>20000</v>
      </c>
    </row>
    <row r="54" spans="10:11">
      <c r="J54" s="20">
        <v>46036</v>
      </c>
      <c r="K54" s="26">
        <v>20000</v>
      </c>
    </row>
    <row r="55" spans="10:11">
      <c r="J55" s="20">
        <v>46037</v>
      </c>
      <c r="K55" s="26">
        <v>120000</v>
      </c>
    </row>
    <row r="56" spans="10:11">
      <c r="J56" s="20">
        <v>46038</v>
      </c>
      <c r="K56" s="26">
        <v>60000</v>
      </c>
    </row>
    <row r="57" spans="10:11">
      <c r="J57" s="20">
        <v>46039</v>
      </c>
      <c r="K57" s="26">
        <v>36000</v>
      </c>
    </row>
    <row r="58" spans="10:11">
      <c r="J58" s="20">
        <v>46040</v>
      </c>
      <c r="K58" s="26">
        <v>60000</v>
      </c>
    </row>
    <row r="59" spans="10:11">
      <c r="J59" s="20">
        <v>46041</v>
      </c>
      <c r="K59" s="26">
        <v>40000</v>
      </c>
    </row>
    <row r="60" spans="10:11">
      <c r="J60" s="20">
        <v>46042</v>
      </c>
      <c r="K60" s="26">
        <v>0</v>
      </c>
    </row>
    <row r="61" spans="10:11">
      <c r="J61" s="20">
        <v>46043</v>
      </c>
      <c r="K61" s="26">
        <v>12000</v>
      </c>
    </row>
    <row r="62" spans="10:11">
      <c r="J62" s="20">
        <v>46044</v>
      </c>
      <c r="K62" s="26">
        <v>60000</v>
      </c>
    </row>
    <row r="63" spans="10:11">
      <c r="J63" s="20">
        <v>46045</v>
      </c>
      <c r="K63" s="26">
        <v>120000</v>
      </c>
    </row>
    <row r="64" spans="10:11">
      <c r="J64" s="20">
        <v>46046</v>
      </c>
      <c r="K64" s="26">
        <v>24000</v>
      </c>
    </row>
    <row r="65" spans="10:11">
      <c r="J65" s="20">
        <v>46047</v>
      </c>
      <c r="K65" s="26">
        <v>45000</v>
      </c>
    </row>
    <row r="66" spans="10:11">
      <c r="J66" s="20">
        <v>46048</v>
      </c>
      <c r="K66" s="26">
        <v>40000</v>
      </c>
    </row>
    <row r="67" spans="10:11">
      <c r="J67" s="20">
        <v>46049</v>
      </c>
      <c r="K67" s="26">
        <v>25000</v>
      </c>
    </row>
    <row r="68" spans="10:11">
      <c r="J68" s="20">
        <v>46050</v>
      </c>
      <c r="K68" s="26">
        <v>15000</v>
      </c>
    </row>
    <row r="69" spans="10:11">
      <c r="J69" s="20">
        <v>46051</v>
      </c>
      <c r="K69" s="26">
        <v>60000</v>
      </c>
    </row>
    <row r="70" spans="10:11">
      <c r="J70" s="20">
        <v>46052</v>
      </c>
      <c r="K70" s="26">
        <v>80000</v>
      </c>
    </row>
    <row r="71" spans="10:11">
      <c r="J71" s="20" t="s">
        <v>140</v>
      </c>
      <c r="K71" s="26">
        <v>1562000</v>
      </c>
    </row>
  </sheetData>
  <pageMargins left="0.7" right="0.7" top="0.75" bottom="0.75" header="0.3" footer="0.3"/>
  <pageSetup orientation="portrait" r:id="rId8"/>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F9E46D-0A80-48BC-A38E-A9D2AB639AD1}">
  <sheetPr codeName="Sheet10"/>
  <dimension ref="A1:Q34"/>
  <sheetViews>
    <sheetView zoomScale="107" zoomScaleNormal="107" workbookViewId="0">
      <pane ySplit="3" topLeftCell="A4" activePane="bottomLeft" state="frozen"/>
      <selection pane="bottomLeft" activeCell="H19" sqref="H19"/>
    </sheetView>
  </sheetViews>
  <sheetFormatPr defaultRowHeight="14.4"/>
  <cols>
    <col min="1" max="1" width="10.77734375" bestFit="1" customWidth="1"/>
    <col min="2" max="2" width="13.33203125" bestFit="1" customWidth="1"/>
    <col min="3" max="3" width="9" bestFit="1" customWidth="1"/>
    <col min="4" max="4" width="13.44140625" bestFit="1" customWidth="1"/>
    <col min="5" max="5" width="11" bestFit="1" customWidth="1"/>
    <col min="6" max="6" width="10.77734375" bestFit="1" customWidth="1"/>
    <col min="7" max="7" width="10.6640625" bestFit="1" customWidth="1"/>
    <col min="8" max="8" width="15.5546875" bestFit="1" customWidth="1"/>
    <col min="9" max="9" width="15" bestFit="1" customWidth="1"/>
    <col min="10" max="10" width="14.5546875" bestFit="1" customWidth="1"/>
    <col min="11" max="11" width="20" bestFit="1" customWidth="1"/>
    <col min="12" max="12" width="8.21875" bestFit="1" customWidth="1"/>
    <col min="13" max="13" width="18.109375" bestFit="1" customWidth="1"/>
    <col min="14" max="14" width="18.5546875" bestFit="1" customWidth="1"/>
    <col min="15" max="15" width="21.21875" bestFit="1" customWidth="1"/>
    <col min="16" max="16" width="21.5546875" bestFit="1" customWidth="1"/>
    <col min="17" max="17" width="14.5546875" bestFit="1" customWidth="1"/>
  </cols>
  <sheetData>
    <row r="1" spans="1:16">
      <c r="A1" t="s">
        <v>159</v>
      </c>
    </row>
    <row r="3" spans="1:16">
      <c r="A3" t="s">
        <v>119</v>
      </c>
      <c r="B3" t="s">
        <v>0</v>
      </c>
      <c r="C3" t="s">
        <v>1</v>
      </c>
      <c r="D3" t="s">
        <v>2</v>
      </c>
      <c r="E3" t="s">
        <v>3</v>
      </c>
      <c r="F3" t="s">
        <v>4</v>
      </c>
      <c r="G3" t="s">
        <v>5</v>
      </c>
      <c r="H3" t="s">
        <v>6</v>
      </c>
      <c r="I3" t="s">
        <v>7</v>
      </c>
      <c r="J3" t="s">
        <v>8</v>
      </c>
      <c r="K3" t="s">
        <v>118</v>
      </c>
      <c r="L3" t="s">
        <v>87</v>
      </c>
      <c r="M3" t="s">
        <v>88</v>
      </c>
      <c r="N3" t="s">
        <v>89</v>
      </c>
      <c r="O3" t="s">
        <v>120</v>
      </c>
      <c r="P3" t="s">
        <v>144</v>
      </c>
    </row>
    <row r="4" spans="1:16">
      <c r="A4" t="s">
        <v>9</v>
      </c>
      <c r="B4" s="1">
        <v>46023</v>
      </c>
      <c r="C4" t="s">
        <v>11</v>
      </c>
      <c r="D4" t="s">
        <v>103</v>
      </c>
      <c r="E4" t="s">
        <v>12</v>
      </c>
      <c r="F4" t="s">
        <v>13</v>
      </c>
      <c r="G4">
        <v>2</v>
      </c>
      <c r="H4">
        <v>120000</v>
      </c>
      <c r="I4">
        <v>90000</v>
      </c>
      <c r="J4" t="s">
        <v>14</v>
      </c>
      <c r="K4">
        <v>1</v>
      </c>
      <c r="L4">
        <v>30000</v>
      </c>
      <c r="M4">
        <v>120000</v>
      </c>
      <c r="N4">
        <v>30000</v>
      </c>
      <c r="O4" t="s">
        <v>121</v>
      </c>
      <c r="P4">
        <v>2</v>
      </c>
    </row>
    <row r="5" spans="1:16">
      <c r="A5" t="s">
        <v>15</v>
      </c>
      <c r="B5" s="1">
        <v>46024</v>
      </c>
      <c r="C5" t="s">
        <v>17</v>
      </c>
      <c r="D5" t="s">
        <v>18</v>
      </c>
      <c r="E5" t="s">
        <v>104</v>
      </c>
      <c r="F5" t="s">
        <v>13</v>
      </c>
      <c r="G5">
        <v>5</v>
      </c>
      <c r="H5">
        <v>100000</v>
      </c>
      <c r="I5">
        <v>75000</v>
      </c>
      <c r="J5" t="s">
        <v>14</v>
      </c>
      <c r="K5">
        <v>2</v>
      </c>
      <c r="L5">
        <v>25000</v>
      </c>
      <c r="M5">
        <v>100000</v>
      </c>
      <c r="N5">
        <v>25000</v>
      </c>
      <c r="O5" t="s">
        <v>121</v>
      </c>
      <c r="P5">
        <v>5</v>
      </c>
    </row>
    <row r="6" spans="1:16">
      <c r="A6" t="s">
        <v>20</v>
      </c>
      <c r="B6" s="1">
        <v>46025</v>
      </c>
      <c r="C6" t="s">
        <v>22</v>
      </c>
      <c r="D6" t="s">
        <v>23</v>
      </c>
      <c r="E6" t="s">
        <v>105</v>
      </c>
      <c r="F6" t="s">
        <v>106</v>
      </c>
      <c r="G6">
        <v>4</v>
      </c>
      <c r="H6">
        <v>50000</v>
      </c>
      <c r="I6">
        <v>32000</v>
      </c>
      <c r="J6" t="s">
        <v>14</v>
      </c>
      <c r="K6">
        <v>3</v>
      </c>
      <c r="L6">
        <v>18000</v>
      </c>
      <c r="M6">
        <v>50000</v>
      </c>
      <c r="N6">
        <v>18000</v>
      </c>
      <c r="O6" t="s">
        <v>121</v>
      </c>
      <c r="P6">
        <v>4</v>
      </c>
    </row>
    <row r="7" spans="1:16">
      <c r="A7" t="s">
        <v>26</v>
      </c>
      <c r="B7" s="1">
        <v>46026</v>
      </c>
      <c r="C7" t="s">
        <v>28</v>
      </c>
      <c r="D7" t="s">
        <v>29</v>
      </c>
      <c r="E7" t="s">
        <v>107</v>
      </c>
      <c r="F7" t="s">
        <v>106</v>
      </c>
      <c r="G7">
        <v>3</v>
      </c>
      <c r="H7">
        <v>45000</v>
      </c>
      <c r="I7">
        <v>30000</v>
      </c>
      <c r="J7" t="s">
        <v>14</v>
      </c>
      <c r="K7">
        <v>4</v>
      </c>
      <c r="L7">
        <v>15000</v>
      </c>
      <c r="M7">
        <v>45000</v>
      </c>
      <c r="N7">
        <v>15000</v>
      </c>
      <c r="O7" t="s">
        <v>121</v>
      </c>
      <c r="P7">
        <v>3</v>
      </c>
    </row>
    <row r="8" spans="1:16">
      <c r="A8" t="s">
        <v>31</v>
      </c>
      <c r="B8" s="1">
        <v>46027</v>
      </c>
      <c r="C8" t="s">
        <v>11</v>
      </c>
      <c r="D8" t="s">
        <v>103</v>
      </c>
      <c r="E8" t="s">
        <v>19</v>
      </c>
      <c r="F8" t="s">
        <v>13</v>
      </c>
      <c r="G8">
        <v>4</v>
      </c>
      <c r="H8">
        <v>80000</v>
      </c>
      <c r="I8">
        <v>60000</v>
      </c>
      <c r="J8" t="s">
        <v>14</v>
      </c>
      <c r="K8">
        <v>5</v>
      </c>
      <c r="L8">
        <v>20000</v>
      </c>
      <c r="M8">
        <v>80000</v>
      </c>
      <c r="N8">
        <v>20000</v>
      </c>
      <c r="O8" t="s">
        <v>121</v>
      </c>
      <c r="P8">
        <v>4</v>
      </c>
    </row>
    <row r="9" spans="1:16">
      <c r="A9" t="s">
        <v>33</v>
      </c>
      <c r="B9" s="1">
        <v>46028</v>
      </c>
      <c r="C9" t="s">
        <v>17</v>
      </c>
      <c r="D9" t="s">
        <v>18</v>
      </c>
      <c r="E9" t="s">
        <v>24</v>
      </c>
      <c r="F9" t="s">
        <v>25</v>
      </c>
      <c r="G9">
        <v>10</v>
      </c>
      <c r="H9">
        <v>25000</v>
      </c>
      <c r="I9">
        <v>15000</v>
      </c>
      <c r="J9" t="s">
        <v>14</v>
      </c>
      <c r="K9">
        <v>6</v>
      </c>
      <c r="L9">
        <v>10000</v>
      </c>
      <c r="M9">
        <v>25000</v>
      </c>
      <c r="N9">
        <v>10000</v>
      </c>
      <c r="O9" t="s">
        <v>121</v>
      </c>
      <c r="P9">
        <v>10</v>
      </c>
    </row>
    <row r="10" spans="1:16">
      <c r="A10" t="s">
        <v>35</v>
      </c>
      <c r="B10" s="1">
        <v>46029</v>
      </c>
      <c r="C10" t="s">
        <v>22</v>
      </c>
      <c r="D10" t="s">
        <v>23</v>
      </c>
      <c r="E10" t="s">
        <v>30</v>
      </c>
      <c r="F10" t="s">
        <v>25</v>
      </c>
      <c r="G10">
        <v>15</v>
      </c>
      <c r="H10">
        <v>15000</v>
      </c>
      <c r="I10">
        <v>9000</v>
      </c>
      <c r="J10" t="s">
        <v>14</v>
      </c>
      <c r="K10">
        <v>7</v>
      </c>
      <c r="L10">
        <v>6000</v>
      </c>
      <c r="M10">
        <v>15000</v>
      </c>
      <c r="N10">
        <v>6000</v>
      </c>
      <c r="O10" t="s">
        <v>121</v>
      </c>
      <c r="P10">
        <v>15</v>
      </c>
    </row>
    <row r="11" spans="1:16">
      <c r="A11" t="s">
        <v>37</v>
      </c>
      <c r="B11" s="1">
        <v>46030</v>
      </c>
      <c r="C11" t="s">
        <v>28</v>
      </c>
      <c r="D11" t="s">
        <v>29</v>
      </c>
      <c r="E11" t="s">
        <v>12</v>
      </c>
      <c r="F11" t="s">
        <v>13</v>
      </c>
      <c r="G11">
        <v>1</v>
      </c>
      <c r="H11">
        <v>60000</v>
      </c>
      <c r="I11">
        <v>45000</v>
      </c>
      <c r="J11" t="s">
        <v>14</v>
      </c>
      <c r="K11">
        <v>8</v>
      </c>
      <c r="L11">
        <v>15000</v>
      </c>
      <c r="M11">
        <v>60000</v>
      </c>
      <c r="N11">
        <v>15000</v>
      </c>
      <c r="O11" t="s">
        <v>121</v>
      </c>
      <c r="P11">
        <v>1</v>
      </c>
    </row>
    <row r="12" spans="1:16">
      <c r="A12" t="s">
        <v>39</v>
      </c>
      <c r="B12" s="1">
        <v>46031</v>
      </c>
      <c r="C12" t="s">
        <v>11</v>
      </c>
      <c r="D12" t="s">
        <v>103</v>
      </c>
      <c r="E12" t="s">
        <v>104</v>
      </c>
      <c r="F12" t="s">
        <v>13</v>
      </c>
      <c r="G12">
        <v>4</v>
      </c>
      <c r="H12">
        <v>80000</v>
      </c>
      <c r="I12">
        <v>60000</v>
      </c>
      <c r="J12" t="s">
        <v>14</v>
      </c>
      <c r="K12">
        <v>9</v>
      </c>
      <c r="L12">
        <v>20000</v>
      </c>
      <c r="M12">
        <v>80000</v>
      </c>
      <c r="N12">
        <v>20000</v>
      </c>
      <c r="O12" t="s">
        <v>121</v>
      </c>
      <c r="P12">
        <v>4</v>
      </c>
    </row>
    <row r="13" spans="1:16">
      <c r="A13" t="s">
        <v>41</v>
      </c>
      <c r="B13" s="1">
        <v>46032</v>
      </c>
      <c r="C13" t="s">
        <v>17</v>
      </c>
      <c r="D13" t="s">
        <v>18</v>
      </c>
      <c r="E13" t="s">
        <v>105</v>
      </c>
      <c r="F13" t="s">
        <v>106</v>
      </c>
      <c r="G13">
        <v>5</v>
      </c>
      <c r="H13">
        <v>60000</v>
      </c>
      <c r="I13">
        <v>40000</v>
      </c>
      <c r="J13" t="s">
        <v>14</v>
      </c>
      <c r="K13">
        <v>10</v>
      </c>
      <c r="L13">
        <v>20000</v>
      </c>
      <c r="M13">
        <v>60000</v>
      </c>
      <c r="N13">
        <v>20000</v>
      </c>
      <c r="O13" t="s">
        <v>121</v>
      </c>
      <c r="P13">
        <v>5</v>
      </c>
    </row>
    <row r="14" spans="1:16">
      <c r="A14" t="s">
        <v>43</v>
      </c>
      <c r="B14" s="1">
        <v>46033</v>
      </c>
      <c r="C14" t="s">
        <v>22</v>
      </c>
      <c r="D14" t="s">
        <v>23</v>
      </c>
      <c r="E14" t="s">
        <v>107</v>
      </c>
      <c r="F14" t="s">
        <v>106</v>
      </c>
      <c r="G14">
        <v>2</v>
      </c>
      <c r="H14">
        <v>30000</v>
      </c>
      <c r="I14">
        <v>20000</v>
      </c>
      <c r="J14" t="s">
        <v>14</v>
      </c>
      <c r="K14">
        <v>11</v>
      </c>
      <c r="L14">
        <v>10000</v>
      </c>
      <c r="M14">
        <v>30000</v>
      </c>
      <c r="N14">
        <v>10000</v>
      </c>
      <c r="O14" t="s">
        <v>121</v>
      </c>
      <c r="P14">
        <v>2</v>
      </c>
    </row>
    <row r="15" spans="1:16">
      <c r="A15" t="s">
        <v>45</v>
      </c>
      <c r="B15" s="1">
        <v>46034</v>
      </c>
      <c r="C15" t="s">
        <v>28</v>
      </c>
      <c r="D15" t="s">
        <v>29</v>
      </c>
      <c r="E15" t="s">
        <v>19</v>
      </c>
      <c r="F15" t="s">
        <v>13</v>
      </c>
      <c r="G15">
        <v>3</v>
      </c>
      <c r="H15">
        <v>60000</v>
      </c>
      <c r="I15">
        <v>45000</v>
      </c>
      <c r="J15" t="s">
        <v>14</v>
      </c>
      <c r="K15">
        <v>12</v>
      </c>
      <c r="L15">
        <v>15000</v>
      </c>
      <c r="M15">
        <v>60000</v>
      </c>
      <c r="N15">
        <v>15000</v>
      </c>
      <c r="O15" t="s">
        <v>121</v>
      </c>
      <c r="P15">
        <v>3</v>
      </c>
    </row>
    <row r="16" spans="1:16">
      <c r="A16" t="s">
        <v>47</v>
      </c>
      <c r="B16" s="1">
        <v>46035</v>
      </c>
      <c r="C16" t="s">
        <v>11</v>
      </c>
      <c r="D16" t="s">
        <v>103</v>
      </c>
      <c r="E16" t="s">
        <v>24</v>
      </c>
      <c r="F16" t="s">
        <v>25</v>
      </c>
      <c r="G16">
        <v>8</v>
      </c>
      <c r="H16">
        <v>20000</v>
      </c>
      <c r="I16">
        <v>12000</v>
      </c>
      <c r="J16" t="s">
        <v>14</v>
      </c>
      <c r="K16">
        <v>13</v>
      </c>
      <c r="L16">
        <v>8000</v>
      </c>
      <c r="M16">
        <v>20000</v>
      </c>
      <c r="N16">
        <v>8000</v>
      </c>
      <c r="O16" t="s">
        <v>121</v>
      </c>
      <c r="P16">
        <v>8</v>
      </c>
    </row>
    <row r="17" spans="1:16">
      <c r="A17" t="s">
        <v>49</v>
      </c>
      <c r="B17" s="1">
        <v>46036</v>
      </c>
      <c r="C17" t="s">
        <v>17</v>
      </c>
      <c r="D17" t="s">
        <v>18</v>
      </c>
      <c r="E17" t="s">
        <v>30</v>
      </c>
      <c r="F17" t="s">
        <v>25</v>
      </c>
      <c r="G17">
        <v>20</v>
      </c>
      <c r="H17">
        <v>20000</v>
      </c>
      <c r="I17">
        <v>12000</v>
      </c>
      <c r="J17" t="s">
        <v>14</v>
      </c>
      <c r="K17">
        <v>14</v>
      </c>
      <c r="L17">
        <v>8000</v>
      </c>
      <c r="M17">
        <v>20000</v>
      </c>
      <c r="N17">
        <v>8000</v>
      </c>
      <c r="O17" t="s">
        <v>121</v>
      </c>
      <c r="P17">
        <v>20</v>
      </c>
    </row>
    <row r="18" spans="1:16">
      <c r="A18" t="s">
        <v>51</v>
      </c>
      <c r="B18" s="1">
        <v>46037</v>
      </c>
      <c r="C18" t="s">
        <v>22</v>
      </c>
      <c r="D18" t="s">
        <v>23</v>
      </c>
      <c r="E18" t="s">
        <v>12</v>
      </c>
      <c r="F18" t="s">
        <v>13</v>
      </c>
      <c r="G18">
        <v>2</v>
      </c>
      <c r="H18">
        <v>120000</v>
      </c>
      <c r="I18">
        <v>90000</v>
      </c>
      <c r="J18" t="s">
        <v>14</v>
      </c>
      <c r="K18">
        <v>15</v>
      </c>
      <c r="L18">
        <v>30000</v>
      </c>
      <c r="M18">
        <v>120000</v>
      </c>
      <c r="N18">
        <v>30000</v>
      </c>
      <c r="O18" t="s">
        <v>121</v>
      </c>
      <c r="P18">
        <v>2</v>
      </c>
    </row>
    <row r="19" spans="1:16">
      <c r="A19" t="s">
        <v>53</v>
      </c>
      <c r="B19" s="1">
        <v>46038</v>
      </c>
      <c r="C19" t="s">
        <v>28</v>
      </c>
      <c r="D19" t="s">
        <v>29</v>
      </c>
      <c r="E19" t="s">
        <v>104</v>
      </c>
      <c r="F19" t="s">
        <v>13</v>
      </c>
      <c r="G19">
        <v>3</v>
      </c>
      <c r="H19">
        <v>60000</v>
      </c>
      <c r="I19">
        <v>45000</v>
      </c>
      <c r="J19" t="s">
        <v>14</v>
      </c>
      <c r="K19">
        <v>16</v>
      </c>
      <c r="L19">
        <v>15000</v>
      </c>
      <c r="M19">
        <v>60000</v>
      </c>
      <c r="N19">
        <v>15000</v>
      </c>
      <c r="O19" t="s">
        <v>121</v>
      </c>
      <c r="P19">
        <v>3</v>
      </c>
    </row>
    <row r="20" spans="1:16">
      <c r="A20" t="s">
        <v>55</v>
      </c>
      <c r="B20" s="1">
        <v>46039</v>
      </c>
      <c r="C20" t="s">
        <v>11</v>
      </c>
      <c r="D20" t="s">
        <v>103</v>
      </c>
      <c r="E20" t="s">
        <v>105</v>
      </c>
      <c r="F20" t="s">
        <v>106</v>
      </c>
      <c r="G20">
        <v>3</v>
      </c>
      <c r="H20">
        <v>36000</v>
      </c>
      <c r="I20">
        <v>24000</v>
      </c>
      <c r="J20" t="s">
        <v>14</v>
      </c>
      <c r="K20">
        <v>17</v>
      </c>
      <c r="L20">
        <v>12000</v>
      </c>
      <c r="M20">
        <v>36000</v>
      </c>
      <c r="N20">
        <v>12000</v>
      </c>
      <c r="O20" t="s">
        <v>121</v>
      </c>
      <c r="P20">
        <v>3</v>
      </c>
    </row>
    <row r="21" spans="1:16">
      <c r="A21" t="s">
        <v>57</v>
      </c>
      <c r="B21" s="1">
        <v>46040</v>
      </c>
      <c r="C21" t="s">
        <v>17</v>
      </c>
      <c r="D21" t="s">
        <v>18</v>
      </c>
      <c r="E21" t="s">
        <v>107</v>
      </c>
      <c r="F21" t="s">
        <v>106</v>
      </c>
      <c r="G21">
        <v>4</v>
      </c>
      <c r="H21">
        <v>60000</v>
      </c>
      <c r="I21">
        <v>40000</v>
      </c>
      <c r="J21" t="s">
        <v>14</v>
      </c>
      <c r="K21">
        <v>18</v>
      </c>
      <c r="L21">
        <v>20000</v>
      </c>
      <c r="M21">
        <v>60000</v>
      </c>
      <c r="N21">
        <v>20000</v>
      </c>
      <c r="O21" t="s">
        <v>121</v>
      </c>
      <c r="P21">
        <v>4</v>
      </c>
    </row>
    <row r="22" spans="1:16">
      <c r="A22" t="s">
        <v>59</v>
      </c>
      <c r="B22" s="1">
        <v>46041</v>
      </c>
      <c r="C22" t="s">
        <v>22</v>
      </c>
      <c r="D22" t="s">
        <v>23</v>
      </c>
      <c r="E22" t="s">
        <v>19</v>
      </c>
      <c r="F22" t="s">
        <v>13</v>
      </c>
      <c r="G22">
        <v>2</v>
      </c>
      <c r="H22">
        <v>40000</v>
      </c>
      <c r="I22">
        <v>30000</v>
      </c>
      <c r="J22" t="s">
        <v>14</v>
      </c>
      <c r="K22">
        <v>19</v>
      </c>
      <c r="L22">
        <v>10000</v>
      </c>
      <c r="M22">
        <v>40000</v>
      </c>
      <c r="N22">
        <v>10000</v>
      </c>
      <c r="O22" t="s">
        <v>121</v>
      </c>
      <c r="P22">
        <v>2</v>
      </c>
    </row>
    <row r="23" spans="1:16">
      <c r="A23" t="s">
        <v>61</v>
      </c>
      <c r="B23" s="1">
        <v>46042</v>
      </c>
      <c r="C23" t="s">
        <v>28</v>
      </c>
      <c r="D23" t="s">
        <v>29</v>
      </c>
      <c r="E23" t="s">
        <v>24</v>
      </c>
      <c r="F23" t="s">
        <v>25</v>
      </c>
      <c r="G23">
        <v>5</v>
      </c>
      <c r="H23">
        <v>12500</v>
      </c>
      <c r="I23">
        <v>7500</v>
      </c>
      <c r="J23" t="s">
        <v>63</v>
      </c>
      <c r="K23">
        <v>20</v>
      </c>
      <c r="L23">
        <v>5000</v>
      </c>
      <c r="M23">
        <v>0</v>
      </c>
      <c r="N23">
        <v>0</v>
      </c>
      <c r="O23" t="s">
        <v>121</v>
      </c>
      <c r="P23">
        <v>0</v>
      </c>
    </row>
    <row r="24" spans="1:16">
      <c r="A24" t="s">
        <v>64</v>
      </c>
      <c r="B24" s="1">
        <v>46043</v>
      </c>
      <c r="C24" t="s">
        <v>11</v>
      </c>
      <c r="D24" t="s">
        <v>103</v>
      </c>
      <c r="E24" t="s">
        <v>30</v>
      </c>
      <c r="F24" t="s">
        <v>25</v>
      </c>
      <c r="G24">
        <v>12</v>
      </c>
      <c r="H24">
        <v>12000</v>
      </c>
      <c r="I24">
        <v>7200</v>
      </c>
      <c r="J24" t="s">
        <v>14</v>
      </c>
      <c r="K24">
        <v>21</v>
      </c>
      <c r="L24">
        <v>4800</v>
      </c>
      <c r="M24">
        <v>12000</v>
      </c>
      <c r="N24">
        <v>4800</v>
      </c>
      <c r="O24" t="s">
        <v>121</v>
      </c>
      <c r="P24">
        <v>12</v>
      </c>
    </row>
    <row r="25" spans="1:16">
      <c r="A25" t="s">
        <v>66</v>
      </c>
      <c r="B25" s="1">
        <v>46044</v>
      </c>
      <c r="C25" t="s">
        <v>17</v>
      </c>
      <c r="D25" t="s">
        <v>18</v>
      </c>
      <c r="E25" t="s">
        <v>12</v>
      </c>
      <c r="F25" t="s">
        <v>13</v>
      </c>
      <c r="G25">
        <v>1</v>
      </c>
      <c r="H25">
        <v>60000</v>
      </c>
      <c r="I25">
        <v>45000</v>
      </c>
      <c r="J25" t="s">
        <v>14</v>
      </c>
      <c r="K25">
        <v>22</v>
      </c>
      <c r="L25">
        <v>15000</v>
      </c>
      <c r="M25">
        <v>60000</v>
      </c>
      <c r="N25">
        <v>15000</v>
      </c>
      <c r="O25" t="s">
        <v>121</v>
      </c>
      <c r="P25">
        <v>1</v>
      </c>
    </row>
    <row r="26" spans="1:16">
      <c r="A26" t="s">
        <v>68</v>
      </c>
      <c r="B26" s="1">
        <v>46045</v>
      </c>
      <c r="C26" t="s">
        <v>22</v>
      </c>
      <c r="D26" t="s">
        <v>23</v>
      </c>
      <c r="E26" t="s">
        <v>104</v>
      </c>
      <c r="F26" t="s">
        <v>13</v>
      </c>
      <c r="G26">
        <v>6</v>
      </c>
      <c r="H26">
        <v>120000</v>
      </c>
      <c r="I26">
        <v>90000</v>
      </c>
      <c r="J26" t="s">
        <v>14</v>
      </c>
      <c r="K26">
        <v>23</v>
      </c>
      <c r="L26">
        <v>30000</v>
      </c>
      <c r="M26">
        <v>120000</v>
      </c>
      <c r="N26">
        <v>30000</v>
      </c>
      <c r="O26" t="s">
        <v>121</v>
      </c>
      <c r="P26">
        <v>6</v>
      </c>
    </row>
    <row r="27" spans="1:16">
      <c r="A27" t="s">
        <v>70</v>
      </c>
      <c r="B27" s="1">
        <v>46046</v>
      </c>
      <c r="C27" t="s">
        <v>28</v>
      </c>
      <c r="D27" t="s">
        <v>29</v>
      </c>
      <c r="E27" t="s">
        <v>105</v>
      </c>
      <c r="F27" t="s">
        <v>106</v>
      </c>
      <c r="G27">
        <v>2</v>
      </c>
      <c r="H27">
        <v>24000</v>
      </c>
      <c r="I27">
        <v>16000</v>
      </c>
      <c r="J27" t="s">
        <v>14</v>
      </c>
      <c r="K27">
        <v>24</v>
      </c>
      <c r="L27">
        <v>8000</v>
      </c>
      <c r="M27">
        <v>24000</v>
      </c>
      <c r="N27">
        <v>8000</v>
      </c>
      <c r="O27" t="s">
        <v>121</v>
      </c>
      <c r="P27">
        <v>2</v>
      </c>
    </row>
    <row r="28" spans="1:16">
      <c r="A28" t="s">
        <v>72</v>
      </c>
      <c r="B28" s="1">
        <v>46047</v>
      </c>
      <c r="C28" t="s">
        <v>11</v>
      </c>
      <c r="D28" t="s">
        <v>103</v>
      </c>
      <c r="E28" t="s">
        <v>107</v>
      </c>
      <c r="F28" t="s">
        <v>106</v>
      </c>
      <c r="G28">
        <v>3</v>
      </c>
      <c r="H28">
        <v>45000</v>
      </c>
      <c r="I28">
        <v>30000</v>
      </c>
      <c r="J28" t="s">
        <v>14</v>
      </c>
      <c r="K28">
        <v>25</v>
      </c>
      <c r="L28">
        <v>15000</v>
      </c>
      <c r="M28">
        <v>45000</v>
      </c>
      <c r="N28">
        <v>15000</v>
      </c>
      <c r="O28" t="s">
        <v>121</v>
      </c>
      <c r="P28">
        <v>3</v>
      </c>
    </row>
    <row r="29" spans="1:16">
      <c r="A29" t="s">
        <v>74</v>
      </c>
      <c r="B29" s="1">
        <v>46048</v>
      </c>
      <c r="C29" t="s">
        <v>17</v>
      </c>
      <c r="D29" t="s">
        <v>18</v>
      </c>
      <c r="E29" t="s">
        <v>19</v>
      </c>
      <c r="F29" t="s">
        <v>13</v>
      </c>
      <c r="G29">
        <v>2</v>
      </c>
      <c r="H29">
        <v>40000</v>
      </c>
      <c r="I29">
        <v>30000</v>
      </c>
      <c r="J29" t="s">
        <v>14</v>
      </c>
      <c r="K29">
        <v>26</v>
      </c>
      <c r="L29">
        <v>10000</v>
      </c>
      <c r="M29">
        <v>40000</v>
      </c>
      <c r="N29">
        <v>10000</v>
      </c>
      <c r="O29" t="s">
        <v>121</v>
      </c>
      <c r="P29">
        <v>2</v>
      </c>
    </row>
    <row r="30" spans="1:16">
      <c r="A30" t="s">
        <v>76</v>
      </c>
      <c r="B30" s="1">
        <v>46049</v>
      </c>
      <c r="C30" t="s">
        <v>22</v>
      </c>
      <c r="D30" t="s">
        <v>23</v>
      </c>
      <c r="E30" t="s">
        <v>24</v>
      </c>
      <c r="F30" t="s">
        <v>25</v>
      </c>
      <c r="G30">
        <v>10</v>
      </c>
      <c r="H30">
        <v>25000</v>
      </c>
      <c r="I30">
        <v>15000</v>
      </c>
      <c r="J30" t="s">
        <v>14</v>
      </c>
      <c r="K30">
        <v>27</v>
      </c>
      <c r="L30">
        <v>10000</v>
      </c>
      <c r="M30">
        <v>25000</v>
      </c>
      <c r="N30">
        <v>10000</v>
      </c>
      <c r="O30" t="s">
        <v>121</v>
      </c>
      <c r="P30">
        <v>10</v>
      </c>
    </row>
    <row r="31" spans="1:16">
      <c r="A31" t="s">
        <v>78</v>
      </c>
      <c r="B31" s="1">
        <v>46050</v>
      </c>
      <c r="C31" t="s">
        <v>28</v>
      </c>
      <c r="D31" t="s">
        <v>29</v>
      </c>
      <c r="E31" t="s">
        <v>30</v>
      </c>
      <c r="F31" t="s">
        <v>25</v>
      </c>
      <c r="G31">
        <v>15</v>
      </c>
      <c r="H31">
        <v>15000</v>
      </c>
      <c r="I31">
        <v>9000</v>
      </c>
      <c r="J31" t="s">
        <v>14</v>
      </c>
      <c r="K31">
        <v>28</v>
      </c>
      <c r="L31">
        <v>6000</v>
      </c>
      <c r="M31">
        <v>15000</v>
      </c>
      <c r="N31">
        <v>6000</v>
      </c>
      <c r="O31" t="s">
        <v>121</v>
      </c>
      <c r="P31">
        <v>15</v>
      </c>
    </row>
    <row r="32" spans="1:16">
      <c r="A32" t="s">
        <v>80</v>
      </c>
      <c r="B32" s="1">
        <v>46051</v>
      </c>
      <c r="C32" t="s">
        <v>11</v>
      </c>
      <c r="D32" t="s">
        <v>103</v>
      </c>
      <c r="E32" t="s">
        <v>12</v>
      </c>
      <c r="F32" t="s">
        <v>13</v>
      </c>
      <c r="G32">
        <v>1</v>
      </c>
      <c r="H32">
        <v>60000</v>
      </c>
      <c r="I32">
        <v>45000</v>
      </c>
      <c r="J32" t="s">
        <v>14</v>
      </c>
      <c r="K32">
        <v>29</v>
      </c>
      <c r="L32">
        <v>15000</v>
      </c>
      <c r="M32">
        <v>60000</v>
      </c>
      <c r="N32">
        <v>15000</v>
      </c>
      <c r="O32" t="s">
        <v>121</v>
      </c>
      <c r="P32">
        <v>1</v>
      </c>
    </row>
    <row r="33" spans="1:17">
      <c r="A33" t="s">
        <v>82</v>
      </c>
      <c r="B33" s="1">
        <v>46052</v>
      </c>
      <c r="C33" t="s">
        <v>17</v>
      </c>
      <c r="D33" t="s">
        <v>18</v>
      </c>
      <c r="E33" t="s">
        <v>104</v>
      </c>
      <c r="F33" t="s">
        <v>13</v>
      </c>
      <c r="G33">
        <v>4</v>
      </c>
      <c r="H33">
        <v>80000</v>
      </c>
      <c r="I33">
        <v>60000</v>
      </c>
      <c r="J33" t="s">
        <v>14</v>
      </c>
      <c r="K33">
        <v>30</v>
      </c>
      <c r="L33">
        <v>20000</v>
      </c>
      <c r="M33">
        <v>80000</v>
      </c>
      <c r="N33">
        <v>20000</v>
      </c>
      <c r="O33" t="s">
        <v>121</v>
      </c>
      <c r="P33">
        <v>4</v>
      </c>
    </row>
    <row r="34" spans="1:17">
      <c r="A34">
        <f>COUNTA(tblCleanSales[Order_Id])</f>
        <v>30</v>
      </c>
      <c r="H34">
        <f>SUM(tblCleanSales[Sales_Amount])</f>
        <v>1574500</v>
      </c>
      <c r="I34">
        <f>SUM(tblCleanSales[Cost_Amount])</f>
        <v>1128700</v>
      </c>
      <c r="J34">
        <f>COUNTIF(tblCleanSales[[#All],[Order_Status]],"Completed")</f>
        <v>29</v>
      </c>
      <c r="L34">
        <f>SUM(tblCleanSales[Completed_Sales])</f>
        <v>1562000</v>
      </c>
      <c r="M34">
        <f>SUM(tblCleanSales[Completed_Profit])</f>
        <v>440800</v>
      </c>
      <c r="Q34" s="4" t="e">
        <f>AVERAGE(#REF!)</f>
        <v>#REF!</v>
      </c>
    </row>
  </sheetData>
  <phoneticPr fontId="3"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926BC8-1043-4DD0-8CC6-4386BF0ECC49}">
  <sheetPr codeName="Sheet11"/>
  <dimension ref="A1:J31"/>
  <sheetViews>
    <sheetView workbookViewId="0">
      <selection activeCell="H5" sqref="H5"/>
    </sheetView>
  </sheetViews>
  <sheetFormatPr defaultRowHeight="14.4"/>
  <cols>
    <col min="1" max="1" width="10.44140625" customWidth="1"/>
    <col min="2" max="2" width="12.5546875" customWidth="1"/>
    <col min="3" max="3" width="8.6640625" customWidth="1"/>
    <col min="4" max="4" width="12.88671875" customWidth="1"/>
    <col min="5" max="5" width="9.5546875" customWidth="1"/>
    <col min="6" max="6" width="10.44140625" bestFit="1" customWidth="1"/>
    <col min="7" max="7" width="10.21875" customWidth="1"/>
    <col min="8" max="8" width="15" customWidth="1"/>
    <col min="9" max="9" width="14.44140625" customWidth="1"/>
    <col min="10" max="10" width="13.88671875" customWidth="1"/>
  </cols>
  <sheetData>
    <row r="1" spans="1:10">
      <c r="A1" t="s">
        <v>84</v>
      </c>
      <c r="B1" t="s">
        <v>0</v>
      </c>
      <c r="C1" t="s">
        <v>1</v>
      </c>
      <c r="D1" t="s">
        <v>2</v>
      </c>
      <c r="E1" t="s">
        <v>3</v>
      </c>
      <c r="F1" t="s">
        <v>4</v>
      </c>
      <c r="G1" t="s">
        <v>5</v>
      </c>
      <c r="H1" t="s">
        <v>6</v>
      </c>
      <c r="I1" t="s">
        <v>7</v>
      </c>
      <c r="J1" t="s">
        <v>8</v>
      </c>
    </row>
    <row r="2" spans="1:10">
      <c r="A2" s="3" t="s">
        <v>9</v>
      </c>
      <c r="B2" s="3" t="s">
        <v>10</v>
      </c>
      <c r="C2" s="3" t="s">
        <v>11</v>
      </c>
      <c r="D2" s="3" t="s">
        <v>103</v>
      </c>
      <c r="E2" s="3" t="s">
        <v>12</v>
      </c>
      <c r="F2" s="3" t="s">
        <v>13</v>
      </c>
      <c r="G2" s="3">
        <v>2</v>
      </c>
      <c r="H2" s="3">
        <v>120000</v>
      </c>
      <c r="I2" s="3">
        <v>90000</v>
      </c>
      <c r="J2" s="3" t="s">
        <v>14</v>
      </c>
    </row>
    <row r="3" spans="1:10">
      <c r="A3" s="3" t="s">
        <v>15</v>
      </c>
      <c r="B3" s="3" t="s">
        <v>16</v>
      </c>
      <c r="C3" s="3" t="s">
        <v>17</v>
      </c>
      <c r="D3" s="3" t="s">
        <v>18</v>
      </c>
      <c r="E3" s="3" t="s">
        <v>104</v>
      </c>
      <c r="F3" s="3" t="s">
        <v>13</v>
      </c>
      <c r="G3" s="3">
        <v>5</v>
      </c>
      <c r="H3" s="3">
        <v>100000</v>
      </c>
      <c r="I3" s="3">
        <v>75000</v>
      </c>
      <c r="J3" s="3" t="s">
        <v>14</v>
      </c>
    </row>
    <row r="4" spans="1:10" ht="28.8">
      <c r="A4" s="3" t="s">
        <v>20</v>
      </c>
      <c r="B4" s="3" t="s">
        <v>21</v>
      </c>
      <c r="C4" s="3" t="s">
        <v>22</v>
      </c>
      <c r="D4" s="3" t="s">
        <v>23</v>
      </c>
      <c r="E4" s="3" t="s">
        <v>105</v>
      </c>
      <c r="F4" s="3" t="s">
        <v>106</v>
      </c>
      <c r="G4" s="3">
        <v>4</v>
      </c>
      <c r="H4" s="3">
        <v>50000</v>
      </c>
      <c r="I4" s="3">
        <v>32000</v>
      </c>
      <c r="J4" s="3" t="s">
        <v>14</v>
      </c>
    </row>
    <row r="5" spans="1:10">
      <c r="A5" s="3" t="s">
        <v>26</v>
      </c>
      <c r="B5" s="3" t="s">
        <v>27</v>
      </c>
      <c r="C5" s="3" t="s">
        <v>28</v>
      </c>
      <c r="D5" s="3" t="s">
        <v>29</v>
      </c>
      <c r="E5" s="3" t="s">
        <v>107</v>
      </c>
      <c r="F5" s="3" t="s">
        <v>106</v>
      </c>
      <c r="G5" s="3">
        <v>3</v>
      </c>
      <c r="H5" s="3">
        <v>45000</v>
      </c>
      <c r="I5" s="3">
        <v>30000</v>
      </c>
      <c r="J5" s="3" t="s">
        <v>14</v>
      </c>
    </row>
    <row r="6" spans="1:10">
      <c r="A6" s="3" t="s">
        <v>31</v>
      </c>
      <c r="B6" s="3" t="s">
        <v>32</v>
      </c>
      <c r="C6" s="3" t="s">
        <v>11</v>
      </c>
      <c r="D6" s="3" t="s">
        <v>103</v>
      </c>
      <c r="E6" s="3" t="s">
        <v>19</v>
      </c>
      <c r="F6" s="3" t="s">
        <v>13</v>
      </c>
      <c r="G6" s="3">
        <v>4</v>
      </c>
      <c r="H6" s="3">
        <v>80000</v>
      </c>
      <c r="I6" s="3">
        <v>60000</v>
      </c>
      <c r="J6" s="3" t="s">
        <v>14</v>
      </c>
    </row>
    <row r="7" spans="1:10">
      <c r="A7" s="3" t="s">
        <v>33</v>
      </c>
      <c r="B7" s="3" t="s">
        <v>34</v>
      </c>
      <c r="C7" s="3" t="s">
        <v>17</v>
      </c>
      <c r="D7" s="3" t="s">
        <v>18</v>
      </c>
      <c r="E7" s="3" t="s">
        <v>24</v>
      </c>
      <c r="F7" s="3" t="s">
        <v>25</v>
      </c>
      <c r="G7" s="3">
        <v>10</v>
      </c>
      <c r="H7" s="3">
        <v>25000</v>
      </c>
      <c r="I7" s="3">
        <v>15000</v>
      </c>
      <c r="J7" s="3" t="s">
        <v>14</v>
      </c>
    </row>
    <row r="8" spans="1:10">
      <c r="A8" s="3" t="s">
        <v>35</v>
      </c>
      <c r="B8" s="3" t="s">
        <v>36</v>
      </c>
      <c r="C8" s="3" t="s">
        <v>22</v>
      </c>
      <c r="D8" s="3" t="s">
        <v>23</v>
      </c>
      <c r="E8" s="3" t="s">
        <v>30</v>
      </c>
      <c r="F8" s="3" t="s">
        <v>25</v>
      </c>
      <c r="G8" s="3">
        <v>15</v>
      </c>
      <c r="H8" s="3">
        <v>15000</v>
      </c>
      <c r="I8" s="3">
        <v>9000</v>
      </c>
      <c r="J8" s="3" t="s">
        <v>14</v>
      </c>
    </row>
    <row r="9" spans="1:10">
      <c r="A9" s="3" t="s">
        <v>37</v>
      </c>
      <c r="B9" s="3" t="s">
        <v>38</v>
      </c>
      <c r="C9" s="3" t="s">
        <v>28</v>
      </c>
      <c r="D9" s="3" t="s">
        <v>29</v>
      </c>
      <c r="E9" s="3" t="s">
        <v>12</v>
      </c>
      <c r="F9" s="3" t="s">
        <v>13</v>
      </c>
      <c r="G9" s="3">
        <v>1</v>
      </c>
      <c r="H9" s="3">
        <v>60000</v>
      </c>
      <c r="I9" s="3">
        <v>45000</v>
      </c>
      <c r="J9" s="3" t="s">
        <v>14</v>
      </c>
    </row>
    <row r="10" spans="1:10">
      <c r="A10" s="3" t="s">
        <v>39</v>
      </c>
      <c r="B10" s="3" t="s">
        <v>40</v>
      </c>
      <c r="C10" s="3" t="s">
        <v>11</v>
      </c>
      <c r="D10" s="3" t="s">
        <v>103</v>
      </c>
      <c r="E10" s="3" t="s">
        <v>104</v>
      </c>
      <c r="F10" s="3" t="s">
        <v>13</v>
      </c>
      <c r="G10" s="3">
        <v>4</v>
      </c>
      <c r="H10" s="3">
        <v>80000</v>
      </c>
      <c r="I10" s="3">
        <v>60000</v>
      </c>
      <c r="J10" s="3" t="s">
        <v>14</v>
      </c>
    </row>
    <row r="11" spans="1:10" ht="28.8">
      <c r="A11" s="3" t="s">
        <v>41</v>
      </c>
      <c r="B11" s="3" t="s">
        <v>42</v>
      </c>
      <c r="C11" s="3" t="s">
        <v>17</v>
      </c>
      <c r="D11" s="3" t="s">
        <v>18</v>
      </c>
      <c r="E11" s="3" t="s">
        <v>105</v>
      </c>
      <c r="F11" s="3" t="s">
        <v>106</v>
      </c>
      <c r="G11" s="3">
        <v>5</v>
      </c>
      <c r="H11" s="3">
        <v>60000</v>
      </c>
      <c r="I11" s="3">
        <v>40000</v>
      </c>
      <c r="J11" s="3" t="s">
        <v>14</v>
      </c>
    </row>
    <row r="12" spans="1:10">
      <c r="A12" s="3" t="s">
        <v>43</v>
      </c>
      <c r="B12" s="3" t="s">
        <v>44</v>
      </c>
      <c r="C12" s="3" t="s">
        <v>22</v>
      </c>
      <c r="D12" s="3" t="s">
        <v>23</v>
      </c>
      <c r="E12" s="3" t="s">
        <v>107</v>
      </c>
      <c r="F12" s="3" t="s">
        <v>106</v>
      </c>
      <c r="G12" s="3">
        <v>2</v>
      </c>
      <c r="H12" s="3">
        <v>30000</v>
      </c>
      <c r="I12" s="3">
        <v>20000</v>
      </c>
      <c r="J12" s="3" t="s">
        <v>14</v>
      </c>
    </row>
    <row r="13" spans="1:10">
      <c r="A13" s="3" t="s">
        <v>45</v>
      </c>
      <c r="B13" s="3" t="s">
        <v>46</v>
      </c>
      <c r="C13" s="3" t="s">
        <v>28</v>
      </c>
      <c r="D13" s="3" t="s">
        <v>29</v>
      </c>
      <c r="E13" s="3" t="s">
        <v>19</v>
      </c>
      <c r="F13" s="3" t="s">
        <v>13</v>
      </c>
      <c r="G13" s="3">
        <v>3</v>
      </c>
      <c r="H13" s="3">
        <v>60000</v>
      </c>
      <c r="I13" s="3">
        <v>45000</v>
      </c>
      <c r="J13" s="3" t="s">
        <v>14</v>
      </c>
    </row>
    <row r="14" spans="1:10">
      <c r="A14" s="3" t="s">
        <v>47</v>
      </c>
      <c r="B14" s="3" t="s">
        <v>48</v>
      </c>
      <c r="C14" s="3" t="s">
        <v>11</v>
      </c>
      <c r="D14" s="3" t="s">
        <v>103</v>
      </c>
      <c r="E14" s="3" t="s">
        <v>24</v>
      </c>
      <c r="F14" s="3" t="s">
        <v>25</v>
      </c>
      <c r="G14" s="3">
        <v>8</v>
      </c>
      <c r="H14" s="3">
        <v>20000</v>
      </c>
      <c r="I14" s="3">
        <v>12000</v>
      </c>
      <c r="J14" s="3" t="s">
        <v>14</v>
      </c>
    </row>
    <row r="15" spans="1:10">
      <c r="A15" s="3" t="s">
        <v>49</v>
      </c>
      <c r="B15" s="3" t="s">
        <v>50</v>
      </c>
      <c r="C15" s="3" t="s">
        <v>17</v>
      </c>
      <c r="D15" s="3" t="s">
        <v>18</v>
      </c>
      <c r="E15" s="3" t="s">
        <v>30</v>
      </c>
      <c r="F15" s="3" t="s">
        <v>25</v>
      </c>
      <c r="G15" s="3">
        <v>20</v>
      </c>
      <c r="H15" s="3">
        <v>20000</v>
      </c>
      <c r="I15" s="3">
        <v>12000</v>
      </c>
      <c r="J15" s="3" t="s">
        <v>14</v>
      </c>
    </row>
    <row r="16" spans="1:10">
      <c r="A16" s="3" t="s">
        <v>51</v>
      </c>
      <c r="B16" s="3" t="s">
        <v>52</v>
      </c>
      <c r="C16" s="3" t="s">
        <v>22</v>
      </c>
      <c r="D16" s="3" t="s">
        <v>23</v>
      </c>
      <c r="E16" s="3" t="s">
        <v>12</v>
      </c>
      <c r="F16" s="3" t="s">
        <v>13</v>
      </c>
      <c r="G16" s="3">
        <v>2</v>
      </c>
      <c r="H16" s="3">
        <v>120000</v>
      </c>
      <c r="I16" s="3">
        <v>90000</v>
      </c>
      <c r="J16" s="3" t="s">
        <v>14</v>
      </c>
    </row>
    <row r="17" spans="1:10">
      <c r="A17" s="3" t="s">
        <v>53</v>
      </c>
      <c r="B17" s="3" t="s">
        <v>54</v>
      </c>
      <c r="C17" s="3" t="s">
        <v>28</v>
      </c>
      <c r="D17" s="3" t="s">
        <v>29</v>
      </c>
      <c r="E17" s="3" t="s">
        <v>104</v>
      </c>
      <c r="F17" s="3" t="s">
        <v>13</v>
      </c>
      <c r="G17" s="3">
        <v>3</v>
      </c>
      <c r="H17" s="3">
        <v>60000</v>
      </c>
      <c r="I17" s="3">
        <v>45000</v>
      </c>
      <c r="J17" s="3" t="s">
        <v>14</v>
      </c>
    </row>
    <row r="18" spans="1:10" ht="28.8">
      <c r="A18" s="3" t="s">
        <v>55</v>
      </c>
      <c r="B18" s="3" t="s">
        <v>56</v>
      </c>
      <c r="C18" s="3" t="s">
        <v>11</v>
      </c>
      <c r="D18" s="3" t="s">
        <v>103</v>
      </c>
      <c r="E18" s="3" t="s">
        <v>105</v>
      </c>
      <c r="F18" s="3" t="s">
        <v>106</v>
      </c>
      <c r="G18" s="3">
        <v>3</v>
      </c>
      <c r="H18" s="3">
        <v>36000</v>
      </c>
      <c r="I18" s="3">
        <v>24000</v>
      </c>
      <c r="J18" s="3" t="s">
        <v>14</v>
      </c>
    </row>
    <row r="19" spans="1:10">
      <c r="A19" s="3" t="s">
        <v>57</v>
      </c>
      <c r="B19" s="3" t="s">
        <v>58</v>
      </c>
      <c r="C19" s="3" t="s">
        <v>17</v>
      </c>
      <c r="D19" s="3" t="s">
        <v>18</v>
      </c>
      <c r="E19" s="3" t="s">
        <v>107</v>
      </c>
      <c r="F19" s="3" t="s">
        <v>106</v>
      </c>
      <c r="G19" s="3">
        <v>4</v>
      </c>
      <c r="H19" s="3">
        <v>60000</v>
      </c>
      <c r="I19" s="3">
        <v>40000</v>
      </c>
      <c r="J19" s="3" t="s">
        <v>14</v>
      </c>
    </row>
    <row r="20" spans="1:10">
      <c r="A20" s="3" t="s">
        <v>59</v>
      </c>
      <c r="B20" s="3" t="s">
        <v>60</v>
      </c>
      <c r="C20" s="3" t="s">
        <v>22</v>
      </c>
      <c r="D20" s="3" t="s">
        <v>23</v>
      </c>
      <c r="E20" s="3" t="s">
        <v>19</v>
      </c>
      <c r="F20" s="3" t="s">
        <v>13</v>
      </c>
      <c r="G20" s="3">
        <v>2</v>
      </c>
      <c r="H20" s="3">
        <v>40000</v>
      </c>
      <c r="I20" s="3">
        <v>30000</v>
      </c>
      <c r="J20" s="3" t="s">
        <v>14</v>
      </c>
    </row>
    <row r="21" spans="1:10">
      <c r="A21" s="3" t="s">
        <v>61</v>
      </c>
      <c r="B21" s="3" t="s">
        <v>62</v>
      </c>
      <c r="C21" s="3" t="s">
        <v>28</v>
      </c>
      <c r="D21" s="3" t="s">
        <v>29</v>
      </c>
      <c r="E21" s="3" t="s">
        <v>24</v>
      </c>
      <c r="F21" s="3" t="s">
        <v>25</v>
      </c>
      <c r="G21" s="3">
        <v>5</v>
      </c>
      <c r="H21" s="3">
        <v>12500</v>
      </c>
      <c r="I21" s="3">
        <v>7500</v>
      </c>
      <c r="J21" s="3" t="s">
        <v>63</v>
      </c>
    </row>
    <row r="22" spans="1:10">
      <c r="A22" s="3" t="s">
        <v>64</v>
      </c>
      <c r="B22" s="3" t="s">
        <v>65</v>
      </c>
      <c r="C22" s="3" t="s">
        <v>11</v>
      </c>
      <c r="D22" s="3" t="s">
        <v>103</v>
      </c>
      <c r="E22" s="3" t="s">
        <v>30</v>
      </c>
      <c r="F22" s="3" t="s">
        <v>25</v>
      </c>
      <c r="G22" s="3">
        <v>12</v>
      </c>
      <c r="H22" s="3">
        <v>12000</v>
      </c>
      <c r="I22" s="3">
        <v>7200</v>
      </c>
      <c r="J22" s="3" t="s">
        <v>14</v>
      </c>
    </row>
    <row r="23" spans="1:10">
      <c r="A23" s="3" t="s">
        <v>66</v>
      </c>
      <c r="B23" s="3" t="s">
        <v>67</v>
      </c>
      <c r="C23" s="3" t="s">
        <v>17</v>
      </c>
      <c r="D23" s="3" t="s">
        <v>18</v>
      </c>
      <c r="E23" s="3" t="s">
        <v>12</v>
      </c>
      <c r="F23" s="3" t="s">
        <v>13</v>
      </c>
      <c r="G23" s="3">
        <v>1</v>
      </c>
      <c r="H23" s="3">
        <v>60000</v>
      </c>
      <c r="I23" s="3">
        <v>45000</v>
      </c>
      <c r="J23" s="3" t="s">
        <v>14</v>
      </c>
    </row>
    <row r="24" spans="1:10">
      <c r="A24" s="3" t="s">
        <v>68</v>
      </c>
      <c r="B24" s="3" t="s">
        <v>69</v>
      </c>
      <c r="C24" s="3" t="s">
        <v>22</v>
      </c>
      <c r="D24" s="3" t="s">
        <v>23</v>
      </c>
      <c r="E24" s="3" t="s">
        <v>104</v>
      </c>
      <c r="F24" s="3" t="s">
        <v>13</v>
      </c>
      <c r="G24" s="3">
        <v>6</v>
      </c>
      <c r="H24" s="3">
        <v>120000</v>
      </c>
      <c r="I24" s="3">
        <v>90000</v>
      </c>
      <c r="J24" s="3" t="s">
        <v>14</v>
      </c>
    </row>
    <row r="25" spans="1:10" ht="28.8">
      <c r="A25" s="3" t="s">
        <v>70</v>
      </c>
      <c r="B25" s="3" t="s">
        <v>71</v>
      </c>
      <c r="C25" s="3" t="s">
        <v>28</v>
      </c>
      <c r="D25" s="3" t="s">
        <v>29</v>
      </c>
      <c r="E25" s="3" t="s">
        <v>105</v>
      </c>
      <c r="F25" s="3" t="s">
        <v>106</v>
      </c>
      <c r="G25" s="3">
        <v>2</v>
      </c>
      <c r="H25" s="3">
        <v>24000</v>
      </c>
      <c r="I25" s="3">
        <v>16000</v>
      </c>
      <c r="J25" s="3" t="s">
        <v>14</v>
      </c>
    </row>
    <row r="26" spans="1:10">
      <c r="A26" s="3" t="s">
        <v>72</v>
      </c>
      <c r="B26" s="3" t="s">
        <v>73</v>
      </c>
      <c r="C26" s="3" t="s">
        <v>11</v>
      </c>
      <c r="D26" s="3" t="s">
        <v>103</v>
      </c>
      <c r="E26" s="3" t="s">
        <v>107</v>
      </c>
      <c r="F26" s="3" t="s">
        <v>106</v>
      </c>
      <c r="G26" s="3">
        <v>3</v>
      </c>
      <c r="H26" s="3">
        <v>45000</v>
      </c>
      <c r="I26" s="3">
        <v>30000</v>
      </c>
      <c r="J26" s="3" t="s">
        <v>14</v>
      </c>
    </row>
    <row r="27" spans="1:10">
      <c r="A27" s="3" t="s">
        <v>74</v>
      </c>
      <c r="B27" s="3" t="s">
        <v>75</v>
      </c>
      <c r="C27" s="3" t="s">
        <v>17</v>
      </c>
      <c r="D27" s="3" t="s">
        <v>18</v>
      </c>
      <c r="E27" s="3" t="s">
        <v>19</v>
      </c>
      <c r="F27" s="3" t="s">
        <v>13</v>
      </c>
      <c r="G27" s="3">
        <v>2</v>
      </c>
      <c r="H27" s="3">
        <v>40000</v>
      </c>
      <c r="I27" s="3">
        <v>30000</v>
      </c>
      <c r="J27" s="3" t="s">
        <v>14</v>
      </c>
    </row>
    <row r="28" spans="1:10">
      <c r="A28" s="3" t="s">
        <v>76</v>
      </c>
      <c r="B28" s="3" t="s">
        <v>77</v>
      </c>
      <c r="C28" s="3" t="s">
        <v>22</v>
      </c>
      <c r="D28" s="3" t="s">
        <v>23</v>
      </c>
      <c r="E28" s="3" t="s">
        <v>24</v>
      </c>
      <c r="F28" s="3" t="s">
        <v>25</v>
      </c>
      <c r="G28" s="3">
        <v>10</v>
      </c>
      <c r="H28" s="3">
        <v>25000</v>
      </c>
      <c r="I28" s="3">
        <v>15000</v>
      </c>
      <c r="J28" s="3" t="s">
        <v>14</v>
      </c>
    </row>
    <row r="29" spans="1:10">
      <c r="A29" s="3" t="s">
        <v>78</v>
      </c>
      <c r="B29" s="3" t="s">
        <v>79</v>
      </c>
      <c r="C29" s="3" t="s">
        <v>28</v>
      </c>
      <c r="D29" s="3" t="s">
        <v>29</v>
      </c>
      <c r="E29" s="3" t="s">
        <v>30</v>
      </c>
      <c r="F29" s="3" t="s">
        <v>25</v>
      </c>
      <c r="G29" s="3">
        <v>15</v>
      </c>
      <c r="H29" s="3">
        <v>15000</v>
      </c>
      <c r="I29" s="3">
        <v>9000</v>
      </c>
      <c r="J29" s="3" t="s">
        <v>14</v>
      </c>
    </row>
    <row r="30" spans="1:10">
      <c r="A30" s="3" t="s">
        <v>80</v>
      </c>
      <c r="B30" s="3" t="s">
        <v>81</v>
      </c>
      <c r="C30" s="3" t="s">
        <v>11</v>
      </c>
      <c r="D30" s="3" t="s">
        <v>103</v>
      </c>
      <c r="E30" s="3" t="s">
        <v>12</v>
      </c>
      <c r="F30" s="3" t="s">
        <v>13</v>
      </c>
      <c r="G30" s="3">
        <v>1</v>
      </c>
      <c r="H30" s="3">
        <v>60000</v>
      </c>
      <c r="I30" s="3">
        <v>45000</v>
      </c>
      <c r="J30" s="3" t="s">
        <v>14</v>
      </c>
    </row>
    <row r="31" spans="1:10">
      <c r="A31" s="3" t="s">
        <v>82</v>
      </c>
      <c r="B31" s="3" t="s">
        <v>83</v>
      </c>
      <c r="C31" s="3" t="s">
        <v>17</v>
      </c>
      <c r="D31" s="3" t="s">
        <v>18</v>
      </c>
      <c r="E31" s="3" t="s">
        <v>104</v>
      </c>
      <c r="F31" s="3" t="s">
        <v>13</v>
      </c>
      <c r="G31" s="3">
        <v>4</v>
      </c>
      <c r="H31" s="3">
        <v>80000</v>
      </c>
      <c r="I31" s="3">
        <v>60000</v>
      </c>
      <c r="J31" s="3" t="s">
        <v>14</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F382F3D-1444-4B37-9A09-DB31AE5A9C6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Documentation</vt:lpstr>
      <vt:lpstr>Dashboard</vt:lpstr>
      <vt:lpstr>Pivot_Data</vt:lpstr>
      <vt:lpstr>Macro_control</vt:lpstr>
      <vt:lpstr>Calendar</vt:lpstr>
      <vt:lpstr>Analysis</vt:lpstr>
      <vt:lpstr>Clean_Data</vt:lpstr>
      <vt:lpstr>Targets</vt:lpstr>
      <vt:lpstr>PivotTables</vt:lpstr>
      <vt:lpstr>PQ_Clean_Sales</vt:lpstr>
      <vt:lpstr>Raw_Data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Shubham Tripathi</dc:creator>
  <cp:lastModifiedBy>Shubham Tripathi</cp:lastModifiedBy>
  <cp:lastPrinted>2026-09-25T17:20:29Z</cp:lastPrinted>
  <dcterms:created xsi:type="dcterms:W3CDTF">2026-09-17T10:44:14Z</dcterms:created>
  <dcterms:modified xsi:type="dcterms:W3CDTF">2026-10-02T11:08:36Z</dcterms:modified>
</cp:coreProperties>
</file>